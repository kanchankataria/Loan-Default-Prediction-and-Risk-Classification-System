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t\Downloads\loan_risk_project\outputs\"/>
    </mc:Choice>
  </mc:AlternateContent>
  <xr:revisionPtr revIDLastSave="0" documentId="13_ncr:1_{B729C029-FBC4-4F0C-998B-0CBC04A7EB0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Executive Summary" sheetId="1" r:id="rId1"/>
    <sheet name="Default Analysis" sheetId="2" r:id="rId2"/>
    <sheet name="Bank Risk" sheetId="3" r:id="rId3"/>
    <sheet name="Securitization Pool" sheetId="4" r:id="rId4"/>
    <sheet name="State Risk" sheetId="5" r:id="rId5"/>
    <sheet name="Business Categories" sheetId="7" r:id="rId6"/>
    <sheet name="Yearly Default Trend" sheetId="6" r:id="rId7"/>
    <sheet name="VBA Macro Code" sheetId="8" r:id="rId8"/>
  </sheets>
  <calcPr calcId="0"/>
</workbook>
</file>

<file path=xl/sharedStrings.xml><?xml version="1.0" encoding="utf-8"?>
<sst xmlns="http://schemas.openxmlformats.org/spreadsheetml/2006/main" count="599" uniqueCount="429">
  <si>
    <t>YEARLY DEFAULT RATE ANALYSIS (2020-2026)</t>
  </si>
  <si>
    <t>Real SBA data | 2025-2026 rates are low because loans are too recent to have defaulted</t>
  </si>
  <si>
    <t>Year</t>
  </si>
  <si>
    <t>Total Loans</t>
  </si>
  <si>
    <t>Total Defaults</t>
  </si>
  <si>
    <t>Default Rate %</t>
  </si>
  <si>
    <t>Fed Rate %</t>
  </si>
  <si>
    <t>Risk Level</t>
  </si>
  <si>
    <t>MEDIUM</t>
  </si>
  <si>
    <t>LOW</t>
  </si>
  <si>
    <t>HIGH</t>
  </si>
  <si>
    <t>EXTREME</t>
  </si>
  <si>
    <t>KEY INSIGHTS FROM YEARLY ANALYSIS</t>
  </si>
  <si>
    <t>1.  2023 was the WORST year — 9.75% default rate during Fed aggressive rate hike cycle</t>
  </si>
  <si>
    <t>2.  2022 was second worst — 8.98% showing post-COVID financial stress on businesses</t>
  </si>
  <si>
    <t>3.  2020 COVID spike to 6.72% despite near-zero Fed rates — economic shock overrode rate effect</t>
  </si>
  <si>
    <t>4.  2021 was recovery year — default rate dropped to 5.99% as economy stabilized</t>
  </si>
  <si>
    <t>5.  2024 stabilizing at 5.10% — weak businesses already failed, survivors are stronger</t>
  </si>
  <si>
    <t>6.  2025-2026 show very low rates — loans too recent to have defaulted yet, not meaningful</t>
  </si>
  <si>
    <t>LOAN DEFAULT PREDICTION &amp; RISK CLASSIFICATION SYSTEM</t>
  </si>
  <si>
    <t>SBA 7(a) Business Loans | 304,590 Records | Last Refreshed: 07-May-2026 12:22</t>
  </si>
  <si>
    <t>KEY PERFORMANCE INDICATORS</t>
  </si>
  <si>
    <t>Default Rate</t>
  </si>
  <si>
    <t>Total Loss</t>
  </si>
  <si>
    <t>Avg Loss/Default</t>
  </si>
  <si>
    <t>Low Risk Loans</t>
  </si>
  <si>
    <t>High Risk Loans</t>
  </si>
  <si>
    <t>Best ML Model</t>
  </si>
  <si>
    <t>304,590</t>
  </si>
  <si>
    <t>17,823</t>
  </si>
  <si>
    <t>5.85%</t>
  </si>
  <si>
    <t>$743M</t>
  </si>
  <si>
    <t>$41,722</t>
  </si>
  <si>
    <t>123,681</t>
  </si>
  <si>
    <t>42,840</t>
  </si>
  <si>
    <t>XGBoost 0.67</t>
  </si>
  <si>
    <t>RISK CATEGORY SUMMARY</t>
  </si>
  <si>
    <t>Risk Category</t>
  </si>
  <si>
    <t>Defaults</t>
  </si>
  <si>
    <t>Avg Loan ($)</t>
  </si>
  <si>
    <t>Avg Rate (%)</t>
  </si>
  <si>
    <t>Decision</t>
  </si>
  <si>
    <t>Pool Grade</t>
  </si>
  <si>
    <t>High Risk</t>
  </si>
  <si>
    <t>3,308</t>
  </si>
  <si>
    <t>7.72%</t>
  </si>
  <si>
    <t>$621,214</t>
  </si>
  <si>
    <t>7-12%</t>
  </si>
  <si>
    <t>REJECT</t>
  </si>
  <si>
    <t>CCC - High Risk</t>
  </si>
  <si>
    <t>Low Risk</t>
  </si>
  <si>
    <t>6,405</t>
  </si>
  <si>
    <t>5.18%</t>
  </si>
  <si>
    <t>$468,784</t>
  </si>
  <si>
    <t>APPROVE</t>
  </si>
  <si>
    <t>AAA - Investment Grade</t>
  </si>
  <si>
    <t>Medium Risk</t>
  </si>
  <si>
    <t>138,069</t>
  </si>
  <si>
    <t>8,110</t>
  </si>
  <si>
    <t>5.87%</t>
  </si>
  <si>
    <t>$576,687</t>
  </si>
  <si>
    <t>REVIEW</t>
  </si>
  <si>
    <t>BBB - Substandard</t>
  </si>
  <si>
    <t>TOP 10 KEY FINDINGS</t>
  </si>
  <si>
    <t>1.  Overall default rate is 5.85% — 17,823 loans defaulted out of 304,590</t>
  </si>
  <si>
    <t>2.  Total money lost to defaults: $743 million | Average loss per default: $41,722</t>
  </si>
  <si>
    <t>3.  SURPRISING: Bigger loans are SAFER — loans &gt;$750K default at only 3.54% vs 8.39% for &lt;$50K</t>
  </si>
  <si>
    <t>4.  Startups default at 7.53% — nearly 2x the rate of established businesses (3.79%)</t>
  </si>
  <si>
    <t>5.  Geographic location is #1 predictor — DC (10.56%), NY (9.60%), FL (7.92%) are highest risk</t>
  </si>
  <si>
    <t>6.  TD Bank is biggest systemic risk — 15.72% default rate across 13,713 loans (2,156 failures)</t>
  </si>
  <si>
    <t>7.  2023 was worst year — 9.75% default rate during Federal Reserve aggressive rate hike cycle</t>
  </si>
  <si>
    <t>8.  XGBoost ML model achieved AUC of 0.6743 — best at identifying future defaulters</t>
  </si>
  <si>
    <t>9.  Inflation correlation is -0.3560 — rate hikes cause short-term spike then long-term drop</t>
  </si>
  <si>
    <t>10. Only 40.6% of loan pool qualifies as Investment Grade (AAA) for securitization deals</t>
  </si>
  <si>
    <t>DEFAULT RATE ANALYSIS</t>
  </si>
  <si>
    <t>LOAN SIZE vs DEFAULT RATE</t>
  </si>
  <si>
    <t>Loan Size</t>
  </si>
  <si>
    <t>&lt; $50K</t>
  </si>
  <si>
    <t>71,673</t>
  </si>
  <si>
    <t>6,012</t>
  </si>
  <si>
    <t>8.39%</t>
  </si>
  <si>
    <t>$25,000</t>
  </si>
  <si>
    <t>🔴 HIGHEST</t>
  </si>
  <si>
    <t>$50K-$150K</t>
  </si>
  <si>
    <t>69,233</t>
  </si>
  <si>
    <t>4,556</t>
  </si>
  <si>
    <t>6.58%</t>
  </si>
  <si>
    <t>$95,000</t>
  </si>
  <si>
    <t>🟡 HIGH</t>
  </si>
  <si>
    <t>$150K-$350K</t>
  </si>
  <si>
    <t>58,587</t>
  </si>
  <si>
    <t>3,296</t>
  </si>
  <si>
    <t>5.63%</t>
  </si>
  <si>
    <t>$245,000</t>
  </si>
  <si>
    <t>🟡 MEDIUM</t>
  </si>
  <si>
    <t>$350K-$750K</t>
  </si>
  <si>
    <t>45,567</t>
  </si>
  <si>
    <t>1,849</t>
  </si>
  <si>
    <t>4.06%</t>
  </si>
  <si>
    <t>$520,000</t>
  </si>
  <si>
    <t>🟢 LOW</t>
  </si>
  <si>
    <t>&gt; $750K</t>
  </si>
  <si>
    <t>59,530</t>
  </si>
  <si>
    <t>2,110</t>
  </si>
  <si>
    <t>3.54%</t>
  </si>
  <si>
    <t>$1,200,000</t>
  </si>
  <si>
    <t>🟢 LOWEST</t>
  </si>
  <si>
    <t>INTEREST RATE vs DEFAULT RATE</t>
  </si>
  <si>
    <t>Rate Bucket</t>
  </si>
  <si>
    <t>Volume Risk</t>
  </si>
  <si>
    <t>Insight</t>
  </si>
  <si>
    <t>&lt; 4%</t>
  </si>
  <si>
    <t>6,441</t>
  </si>
  <si>
    <t>167</t>
  </si>
  <si>
    <t>2.59%</t>
  </si>
  <si>
    <t>Safest borrowers</t>
  </si>
  <si>
    <t>4-6%</t>
  </si>
  <si>
    <t>76,151</t>
  </si>
  <si>
    <t>3,995</t>
  </si>
  <si>
    <t>5.25%</t>
  </si>
  <si>
    <t>Standard risk</t>
  </si>
  <si>
    <t>6-8%</t>
  </si>
  <si>
    <t>45,931</t>
  </si>
  <si>
    <t>2,993</t>
  </si>
  <si>
    <t>6.52%</t>
  </si>
  <si>
    <t>Highest default rate!</t>
  </si>
  <si>
    <t>8-10%</t>
  </si>
  <si>
    <t>66,984</t>
  </si>
  <si>
    <t>3,626</t>
  </si>
  <si>
    <t>5.41%</t>
  </si>
  <si>
    <t>Moderate risk</t>
  </si>
  <si>
    <t>&gt; 10%</t>
  </si>
  <si>
    <t>109,009</t>
  </si>
  <si>
    <t>7,033</t>
  </si>
  <si>
    <t>6.45%</t>
  </si>
  <si>
    <t>Most actual defaults</t>
  </si>
  <si>
    <t>BANK RISK ANALYSIS — TOP 10</t>
  </si>
  <si>
    <t>Banks with minimum 100 loans | Sorted by default rate</t>
  </si>
  <si>
    <t>Bank Name</t>
  </si>
  <si>
    <t>Wisconsin Women's Business</t>
  </si>
  <si>
    <t>163</t>
  </si>
  <si>
    <t>46</t>
  </si>
  <si>
    <t>28.22%</t>
  </si>
  <si>
    <t>$163,150</t>
  </si>
  <si>
    <t>TD Bank, National Assoc.</t>
  </si>
  <si>
    <t>13,713</t>
  </si>
  <si>
    <t>2,156</t>
  </si>
  <si>
    <t>15.72%</t>
  </si>
  <si>
    <t>$154,630</t>
  </si>
  <si>
    <t>CRITICAL</t>
  </si>
  <si>
    <t>UniBank</t>
  </si>
  <si>
    <t>176</t>
  </si>
  <si>
    <t>24</t>
  </si>
  <si>
    <t>13.64%</t>
  </si>
  <si>
    <t>$1,010,114</t>
  </si>
  <si>
    <t>Hiawatha National Bank</t>
  </si>
  <si>
    <t>353</t>
  </si>
  <si>
    <t>48</t>
  </si>
  <si>
    <t>13.6%</t>
  </si>
  <si>
    <t>$470,384</t>
  </si>
  <si>
    <t>Luminate Bank</t>
  </si>
  <si>
    <t>103</t>
  </si>
  <si>
    <t>14</t>
  </si>
  <si>
    <t>13.59%</t>
  </si>
  <si>
    <t>$758,191</t>
  </si>
  <si>
    <t>LendingClub Bank</t>
  </si>
  <si>
    <t>303</t>
  </si>
  <si>
    <t>41</t>
  </si>
  <si>
    <t>13.53%</t>
  </si>
  <si>
    <t>$1,324,292</t>
  </si>
  <si>
    <t>FirstBank Puerto Rico</t>
  </si>
  <si>
    <t>192</t>
  </si>
  <si>
    <t>25</t>
  </si>
  <si>
    <t>13.02%</t>
  </si>
  <si>
    <t>$244,924</t>
  </si>
  <si>
    <t>MidFirst Bank</t>
  </si>
  <si>
    <t>281</t>
  </si>
  <si>
    <t>36</t>
  </si>
  <si>
    <t>12.81%</t>
  </si>
  <si>
    <t>$1,207,961</t>
  </si>
  <si>
    <t>Trustmark Bank</t>
  </si>
  <si>
    <t>194</t>
  </si>
  <si>
    <t>12.37%</t>
  </si>
  <si>
    <t>$339,997</t>
  </si>
  <si>
    <t>PeopleFund</t>
  </si>
  <si>
    <t>223</t>
  </si>
  <si>
    <t>27</t>
  </si>
  <si>
    <t>12.11%</t>
  </si>
  <si>
    <t>$154,557</t>
  </si>
  <si>
    <t>⚠ Industry Average Default Rate: 5.85% — All banks above are 2-5x higher than average</t>
  </si>
  <si>
    <t>SECURITIZATION POOL QUALITY ASSESSMENT</t>
  </si>
  <si>
    <t>Loan pool stratification for securitization deal structuring</t>
  </si>
  <si>
    <t>Loan Count</t>
  </si>
  <si>
    <t>% of Pool</t>
  </si>
  <si>
    <t>Recommendation</t>
  </si>
  <si>
    <t>AAA — Investment Grade</t>
  </si>
  <si>
    <t>40.6%</t>
  </si>
  <si>
    <t>Include in senior tranche</t>
  </si>
  <si>
    <t>BBB — Substandard</t>
  </si>
  <si>
    <t>45.3%</t>
  </si>
  <si>
    <t>Mezzanine tranche — monitor</t>
  </si>
  <si>
    <t>CCC — High Risk</t>
  </si>
  <si>
    <t>14.1%</t>
  </si>
  <si>
    <t>$621,215</t>
  </si>
  <si>
    <t>Exclude or subordinate only</t>
  </si>
  <si>
    <t>💡 KEY INSIGHT: Only 40.6% of loans qualify for senior tranche. 59.4% require mezzanine pricing or exclusion from structured products.</t>
  </si>
  <si>
    <t>GEOGRAPHIC RISK ANALYSIS — TOP 10 STATES</t>
  </si>
  <si>
    <t>State</t>
  </si>
  <si>
    <t>Total Exposure ($)</t>
  </si>
  <si>
    <t>Washington DC</t>
  </si>
  <si>
    <t>606</t>
  </si>
  <si>
    <t>10.56%</t>
  </si>
  <si>
    <t>$270,497,900</t>
  </si>
  <si>
    <t>New York</t>
  </si>
  <si>
    <t>18,350</t>
  </si>
  <si>
    <t>9.6%</t>
  </si>
  <si>
    <t>$6,872,467,400</t>
  </si>
  <si>
    <t>Florida</t>
  </si>
  <si>
    <t>22,223</t>
  </si>
  <si>
    <t>7.92%</t>
  </si>
  <si>
    <t>$12,920,803,000</t>
  </si>
  <si>
    <t>New Jersey</t>
  </si>
  <si>
    <t>10,009</t>
  </si>
  <si>
    <t>7.73%</t>
  </si>
  <si>
    <t>$4,948,504,700</t>
  </si>
  <si>
    <t>Louisiana</t>
  </si>
  <si>
    <t>2,302</t>
  </si>
  <si>
    <t>7.6%</t>
  </si>
  <si>
    <t>$1,494,462,600</t>
  </si>
  <si>
    <t>Maryland</t>
  </si>
  <si>
    <t>4,866</t>
  </si>
  <si>
    <t>7.36%</t>
  </si>
  <si>
    <t>$2,081,300,300</t>
  </si>
  <si>
    <t>Mississippi</t>
  </si>
  <si>
    <t>1,813</t>
  </si>
  <si>
    <t>7.34%</t>
  </si>
  <si>
    <t>$1,027,270,200</t>
  </si>
  <si>
    <t>Virgin Islands</t>
  </si>
  <si>
    <t>73</t>
  </si>
  <si>
    <t>6.85%</t>
  </si>
  <si>
    <t>$43,958,900</t>
  </si>
  <si>
    <t>Delaware</t>
  </si>
  <si>
    <t>963</t>
  </si>
  <si>
    <t>6.65%</t>
  </si>
  <si>
    <t>$392,461,600</t>
  </si>
  <si>
    <t>Georgia</t>
  </si>
  <si>
    <t>7,823</t>
  </si>
  <si>
    <t>$3,241,000,000</t>
  </si>
  <si>
    <t>BUSINESS CATEGORY &amp; TYPE ANALYSIS</t>
  </si>
  <si>
    <t>Top industries by loan volume | Default rate by business type | Sector group analysis</t>
  </si>
  <si>
    <t>SECTION 1 — DEFAULT RATE BY BUSINESS TYPE</t>
  </si>
  <si>
    <t>Business Type</t>
  </si>
  <si>
    <t>CORPORATION</t>
  </si>
  <si>
    <t>351,423</t>
  </si>
  <si>
    <t>19,798</t>
  </si>
  <si>
    <t>5.64%</t>
  </si>
  <si>
    <t>$521,000</t>
  </si>
  <si>
    <t>Standard screening</t>
  </si>
  <si>
    <t>BBB</t>
  </si>
  <si>
    <t>INDIVIDUAL</t>
  </si>
  <si>
    <t>1,273</t>
  </si>
  <si>
    <t>6.94%</t>
  </si>
  <si>
    <t>$257,000</t>
  </si>
  <si>
    <t>Enhanced due diligence</t>
  </si>
  <si>
    <t>CCC</t>
  </si>
  <si>
    <t>PARTNERSHIP</t>
  </si>
  <si>
    <t>4,112</t>
  </si>
  <si>
    <t>185</t>
  </si>
  <si>
    <t>4.5%</t>
  </si>
  <si>
    <t>$524,000</t>
  </si>
  <si>
    <t>Preferred borrower</t>
  </si>
  <si>
    <t>AAA</t>
  </si>
  <si>
    <t>SECTION 2 — TOP 15 INDUSTRIES BY LOAN VOLUME</t>
  </si>
  <si>
    <t>Industry / Business Category</t>
  </si>
  <si>
    <t>Sector Group</t>
  </si>
  <si>
    <t>Business Type Mix</t>
  </si>
  <si>
    <t>Full-Service Restaurants</t>
  </si>
  <si>
    <t>Food &amp; Beverage</t>
  </si>
  <si>
    <t>13,017</t>
  </si>
  <si>
    <t>910</t>
  </si>
  <si>
    <t>6.99%</t>
  </si>
  <si>
    <t>$280,000</t>
  </si>
  <si>
    <t>Corp 85% / Ind 15%</t>
  </si>
  <si>
    <t>Limited-Service Restaurants</t>
  </si>
  <si>
    <t>9,168</t>
  </si>
  <si>
    <t>642</t>
  </si>
  <si>
    <t>7.0%</t>
  </si>
  <si>
    <t>$195,000</t>
  </si>
  <si>
    <t>Corp 80% / Ind 20%</t>
  </si>
  <si>
    <t>Landscaping Services</t>
  </si>
  <si>
    <t>Services</t>
  </si>
  <si>
    <t>6,250</t>
  </si>
  <si>
    <t>344</t>
  </si>
  <si>
    <t>5.5%</t>
  </si>
  <si>
    <t>$145,000</t>
  </si>
  <si>
    <t>Corp 60% / Ind 40%</t>
  </si>
  <si>
    <t>All Other Specialty Contractors</t>
  </si>
  <si>
    <t>Construction</t>
  </si>
  <si>
    <t>6,128</t>
  </si>
  <si>
    <t>368</t>
  </si>
  <si>
    <t>6.0%</t>
  </si>
  <si>
    <t>$320,000</t>
  </si>
  <si>
    <t>Corp 75% / Ind 25%</t>
  </si>
  <si>
    <t>Residential Remodelers</t>
  </si>
  <si>
    <t>6,090</t>
  </si>
  <si>
    <t>304</t>
  </si>
  <si>
    <t>4.99%</t>
  </si>
  <si>
    <t>$285,000</t>
  </si>
  <si>
    <t>Corp 70% / Ind 30%</t>
  </si>
  <si>
    <t>Fitness &amp; Recreational Centers</t>
  </si>
  <si>
    <t>Health &amp; Wellness</t>
  </si>
  <si>
    <t>5,358</t>
  </si>
  <si>
    <t>375</t>
  </si>
  <si>
    <t>$350,000</t>
  </si>
  <si>
    <t>Corp 90% / Ind 10%</t>
  </si>
  <si>
    <t>Plumbing, Heating, AC Contractors</t>
  </si>
  <si>
    <t>4,876</t>
  </si>
  <si>
    <t>195</t>
  </si>
  <si>
    <t>4.0%</t>
  </si>
  <si>
    <t>$265,000</t>
  </si>
  <si>
    <t>Corp 65% / Ind 35%</t>
  </si>
  <si>
    <t>Offices of Lawyers</t>
  </si>
  <si>
    <t>Professional Services</t>
  </si>
  <si>
    <t>3,262</t>
  </si>
  <si>
    <t>130</t>
  </si>
  <si>
    <t>3.99%</t>
  </si>
  <si>
    <t>$420,000</t>
  </si>
  <si>
    <t>Corp 80% / Part 20%</t>
  </si>
  <si>
    <t>Other Personal Care Services</t>
  </si>
  <si>
    <t>3,116</t>
  </si>
  <si>
    <t>218</t>
  </si>
  <si>
    <t>$125,000</t>
  </si>
  <si>
    <t>Corp 55% / Ind 45%</t>
  </si>
  <si>
    <t>Hotels &amp; Motels</t>
  </si>
  <si>
    <t>Hospitality</t>
  </si>
  <si>
    <t>3,113</t>
  </si>
  <si>
    <t>187</t>
  </si>
  <si>
    <t>6.01%</t>
  </si>
  <si>
    <t>$890,000</t>
  </si>
  <si>
    <t>Corp 95% / Part 5%</t>
  </si>
  <si>
    <t>Offices of Physicians</t>
  </si>
  <si>
    <t>Healthcare</t>
  </si>
  <si>
    <t>2,980</t>
  </si>
  <si>
    <t>104</t>
  </si>
  <si>
    <t>3.49%</t>
  </si>
  <si>
    <t>$580,000</t>
  </si>
  <si>
    <t>Corp 85% / Part 15%</t>
  </si>
  <si>
    <t>Trucking Companies</t>
  </si>
  <si>
    <t>Transportation</t>
  </si>
  <si>
    <t>2,750</t>
  </si>
  <si>
    <t>193</t>
  </si>
  <si>
    <t>7.02%</t>
  </si>
  <si>
    <t>Auto Repair Services</t>
  </si>
  <si>
    <t>Automotive</t>
  </si>
  <si>
    <t>2,680</t>
  </si>
  <si>
    <t>161</t>
  </si>
  <si>
    <t>Child Day Care Services</t>
  </si>
  <si>
    <t>Education &amp; Care</t>
  </si>
  <si>
    <t>2,540</t>
  </si>
  <si>
    <t>127</t>
  </si>
  <si>
    <t>5.0%</t>
  </si>
  <si>
    <t>$210,000</t>
  </si>
  <si>
    <t>Supermarkets &amp; Grocery Stores</t>
  </si>
  <si>
    <t>Retail</t>
  </si>
  <si>
    <t>2,380</t>
  </si>
  <si>
    <t>119</t>
  </si>
  <si>
    <t>$480,000</t>
  </si>
  <si>
    <t>Corp 90% / Part 10%</t>
  </si>
  <si>
    <t>SECTION 3 — SECTOR GROUP RISK SUMMARY</t>
  </si>
  <si>
    <t>22,185</t>
  </si>
  <si>
    <t>$240,000</t>
  </si>
  <si>
    <t>Apply strict DTI checks</t>
  </si>
  <si>
    <t>17,094</t>
  </si>
  <si>
    <t>$290,000</t>
  </si>
  <si>
    <t>9,366</t>
  </si>
  <si>
    <t>6.25%</t>
  </si>
  <si>
    <t>$135,000</t>
  </si>
  <si>
    <t>Monitor closely</t>
  </si>
  <si>
    <t>Require collateral</t>
  </si>
  <si>
    <t>Preferred sector</t>
  </si>
  <si>
    <t>Technology</t>
  </si>
  <si>
    <t>1,850</t>
  </si>
  <si>
    <t>$650,000</t>
  </si>
  <si>
    <t>Agriculture</t>
  </si>
  <si>
    <t>1,200</t>
  </si>
  <si>
    <t>Seasonal risk factor</t>
  </si>
  <si>
    <t>Industry</t>
  </si>
  <si>
    <t>Specialty Trade Contractors</t>
  </si>
  <si>
    <t>Fitness &amp; Recreation Centers</t>
  </si>
  <si>
    <t>Plumbing &amp; HVAC Contractors</t>
  </si>
  <si>
    <t>Personal Care Services</t>
  </si>
  <si>
    <t>HOW TO ADD THE VBA REFRESH BUTTON</t>
  </si>
  <si>
    <t>Step 1: Press Alt + F11 to open VBA Editor</t>
  </si>
  <si>
    <t>Step 2: Click Insert → Module</t>
  </si>
  <si>
    <t>Step 3: Paste the code below into the module</t>
  </si>
  <si>
    <t>Step 4: Close VBA Editor and go back to Excel</t>
  </si>
  <si>
    <t>Step 5: Click Developer tab → Insert → Button → draw on sheet</t>
  </si>
  <si>
    <t>VBA CODE — COPY AND PASTE INTO VBA EDITOR:</t>
  </si>
  <si>
    <t>Sub RefreshDashboard()</t>
  </si>
  <si>
    <t xml:space="preserve">    ' Update timestamp</t>
  </si>
  <si>
    <t xml:space="preserve">    Sheets("Executive Summary").Range("A2").Value = _</t>
  </si>
  <si>
    <t xml:space="preserve">        "SBA 7(a) Business Loans | 304,590 Records | Last Refreshed: " &amp; _</t>
  </si>
  <si>
    <t xml:space="preserve">        Format(Now(), "DD-MMM-YYYY HH:MM")</t>
  </si>
  <si>
    <t xml:space="preserve">    ' Recalculate all formulas</t>
  </si>
  <si>
    <t xml:space="preserve">    Application.CalculateFull</t>
  </si>
  <si>
    <t xml:space="preserve">    ' Autofit all columns on all sheets</t>
  </si>
  <si>
    <t xml:space="preserve">    Dim ws As Worksheet</t>
  </si>
  <si>
    <t xml:space="preserve">    For Each ws In ThisWorkbook.Worksheets</t>
  </si>
  <si>
    <t xml:space="preserve">        If ws.Name &lt;&gt; "VBA Macro Code" Then</t>
  </si>
  <si>
    <t xml:space="preserve">            ws.Cells.EntireColumn.AutoFit</t>
  </si>
  <si>
    <t xml:space="preserve">        End If</t>
  </si>
  <si>
    <t xml:space="preserve">    Next ws</t>
  </si>
  <si>
    <t xml:space="preserve">    ' Confirm refresh</t>
  </si>
  <si>
    <t xml:space="preserve">    MsgBox "Dashboard refreshed successfully!" &amp; Chr(13) &amp; _</t>
  </si>
  <si>
    <t xml:space="preserve">           "Timestamp: " &amp; Format(Now(), "DD-MMM-YYYY HH:MM:SS"), _</t>
  </si>
  <si>
    <t xml:space="preserve">           vbInformation, "Refresh Complete"</t>
  </si>
  <si>
    <t>End Sub</t>
  </si>
  <si>
    <t>Sub AddRefreshButton()</t>
  </si>
  <si>
    <t xml:space="preserve">    Dim btn As Object</t>
  </si>
  <si>
    <t xml:space="preserve">    Set ws = Sheets("Executive Summary")</t>
  </si>
  <si>
    <t xml:space="preserve">    Set btn = ws.Buttons.Add(650, 5, 150, 30)</t>
  </si>
  <si>
    <t xml:space="preserve">    With btn</t>
  </si>
  <si>
    <t xml:space="preserve">        .Caption  = "🔄 Refresh Dashboard"</t>
  </si>
  <si>
    <t xml:space="preserve">        .OnAction = "RefreshDashboard"</t>
  </si>
  <si>
    <t xml:space="preserve">        .Font.Bold = True</t>
  </si>
  <si>
    <t xml:space="preserve">        .Font.Size = 11</t>
  </si>
  <si>
    <t xml:space="preserve">        .Font.Name = "Arial"</t>
  </si>
  <si>
    <t xml:space="preserve">    End With</t>
  </si>
  <si>
    <t xml:space="preserve">    MsgBox "Refresh button added!", vbInformation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</si>
</sst>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3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1"/>
      <color rgb="FFFFFFFF"/>
      <name val="Arial"/>
      <family val="2"/>
    </font>
    <font>
      <b/>
      <sz val="12"/>
      <color rgb="FFFFFFFF"/>
      <name val="Arial"/>
      <family val="2"/>
    </font>
    <font>
      <b/>
      <sz val="9"/>
      <color rgb="FFFFFFFF"/>
      <name val="Arial"/>
      <family val="2"/>
    </font>
    <font>
      <b/>
      <sz val="14"/>
      <color rgb="FF1F3864"/>
      <name val="Arial"/>
      <family val="2"/>
    </font>
    <font>
      <b/>
      <sz val="14"/>
      <color rgb="FFC00000"/>
      <name val="Arial"/>
      <family val="2"/>
    </font>
    <font>
      <b/>
      <sz val="14"/>
      <color rgb="FFE26B0A"/>
      <name val="Arial"/>
      <family val="2"/>
    </font>
    <font>
      <b/>
      <sz val="14"/>
      <color rgb="FF375623"/>
      <name val="Arial"/>
      <family val="2"/>
    </font>
    <font>
      <b/>
      <sz val="14"/>
      <color rgb="FF2E75B6"/>
      <name val="Arial"/>
      <family val="2"/>
    </font>
    <font>
      <b/>
      <sz val="10"/>
      <color rgb="FFFFFFFF"/>
      <name val="Arial"/>
      <family val="2"/>
    </font>
    <font>
      <sz val="11"/>
      <color rgb="FFC00000"/>
      <name val="Arial"/>
      <family val="2"/>
    </font>
    <font>
      <sz val="11"/>
      <color rgb="FF000000"/>
      <name val="Arial"/>
      <family val="2"/>
    </font>
    <font>
      <sz val="11"/>
      <color rgb="FF375623"/>
      <name val="Arial"/>
      <family val="2"/>
    </font>
    <font>
      <sz val="11"/>
      <color rgb="FFE26B0A"/>
      <name val="Arial"/>
      <family val="2"/>
    </font>
    <font>
      <sz val="10"/>
      <color rgb="FF000000"/>
      <name val="Arial"/>
      <family val="2"/>
    </font>
    <font>
      <b/>
      <sz val="14"/>
      <color rgb="FFFFFFFF"/>
      <name val="Arial"/>
      <family val="2"/>
    </font>
    <font>
      <sz val="10"/>
      <color rgb="FFFFFFFF"/>
      <name val="Arial"/>
      <family val="2"/>
    </font>
    <font>
      <b/>
      <sz val="10"/>
      <color rgb="FF1F3864"/>
      <name val="Arial"/>
      <family val="2"/>
    </font>
    <font>
      <b/>
      <sz val="11"/>
      <color rgb="FFFFFFFF"/>
      <name val="Arial"/>
      <family val="2"/>
    </font>
    <font>
      <sz val="10"/>
      <color rgb="FF000000"/>
      <name val="Courier New"/>
      <family val="3"/>
    </font>
    <font>
      <b/>
      <sz val="11"/>
      <color rgb="FF000000"/>
      <name val="Arial"/>
      <family val="2"/>
    </font>
    <font>
      <b/>
      <sz val="14"/>
      <color rgb="FFFFFFFF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b/>
      <sz val="12"/>
      <color rgb="FFFFFFFF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b/>
      <sz val="11"/>
      <color rgb="FFF57F17"/>
      <name val="Arial"/>
      <family val="2"/>
    </font>
    <font>
      <b/>
      <sz val="11"/>
      <color rgb="FF375623"/>
      <name val="Arial"/>
      <family val="2"/>
    </font>
    <font>
      <b/>
      <sz val="11"/>
      <color rgb="FFE26B0A"/>
      <name val="Arial"/>
      <family val="2"/>
    </font>
    <font>
      <b/>
      <sz val="11"/>
      <color rgb="FFC00000"/>
      <name val="Arial"/>
      <family val="2"/>
    </font>
    <font>
      <sz val="10"/>
      <color rgb="FF000000"/>
      <name val="Arial"/>
      <family val="2"/>
    </font>
    <font>
      <b/>
      <sz val="14"/>
      <color rgb="FFFFFFFF"/>
      <name val="Arial"/>
      <family val="2"/>
    </font>
    <font>
      <sz val="10"/>
      <color rgb="FFFFFFFF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sz val="11"/>
      <color rgb="FFE26B0A"/>
      <name val="Arial"/>
      <family val="2"/>
    </font>
    <font>
      <sz val="11"/>
      <color rgb="FF000000"/>
      <name val="Arial"/>
      <family val="2"/>
    </font>
    <font>
      <sz val="11"/>
      <color rgb="FFC00000"/>
      <name val="Arial"/>
      <family val="2"/>
    </font>
    <font>
      <sz val="11"/>
      <color rgb="FF375623"/>
      <name val="Arial"/>
      <family val="2"/>
    </font>
    <font>
      <sz val="9"/>
      <name val="Arial"/>
      <family val="2"/>
    </font>
    <font>
      <b/>
      <sz val="1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C00000"/>
      </patternFill>
    </fill>
    <fill>
      <patternFill patternType="solid">
        <fgColor rgb="FFE26B0A"/>
      </patternFill>
    </fill>
    <fill>
      <patternFill patternType="solid">
        <fgColor rgb="FF375623"/>
      </patternFill>
    </fill>
    <fill>
      <patternFill patternType="solid">
        <fgColor rgb="FFFFCCCC"/>
      </patternFill>
    </fill>
    <fill>
      <patternFill patternType="solid">
        <fgColor rgb="FFE8F5E9"/>
      </patternFill>
    </fill>
    <fill>
      <patternFill patternType="solid">
        <fgColor rgb="FFFFF3E0"/>
      </patternFill>
    </fill>
    <fill>
      <patternFill patternType="solid">
        <fgColor rgb="FFD6E4F0"/>
      </patternFill>
    </fill>
    <fill>
      <patternFill patternType="solid">
        <fgColor rgb="FFFFFFFF"/>
      </patternFill>
    </fill>
    <fill>
      <patternFill patternType="solid">
        <fgColor rgb="FFFFE0B2"/>
      </patternFill>
    </fill>
    <fill>
      <patternFill patternType="solid">
        <fgColor rgb="FFC9A800"/>
      </patternFill>
    </fill>
    <fill>
      <patternFill patternType="solid">
        <fgColor rgb="FFF5F5F5"/>
      </patternFill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FFF3E0"/>
      </patternFill>
    </fill>
    <fill>
      <patternFill patternType="solid">
        <fgColor rgb="FFE8F5E9"/>
      </patternFill>
    </fill>
    <fill>
      <patternFill patternType="solid">
        <fgColor rgb="FFFFE0B2"/>
      </patternFill>
    </fill>
    <fill>
      <patternFill patternType="solid">
        <fgColor rgb="FFFFCCCC"/>
      </patternFill>
    </fill>
    <fill>
      <patternFill patternType="solid">
        <fgColor rgb="FFD6E4F0"/>
      </patternFill>
    </fill>
    <fill>
      <patternFill patternType="solid">
        <fgColor rgb="FFFFFFFF"/>
      </patternFill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FFF3E0"/>
      </patternFill>
    </fill>
    <fill>
      <patternFill patternType="solid">
        <fgColor rgb="FFFFCCCC"/>
      </patternFill>
    </fill>
    <fill>
      <patternFill patternType="solid">
        <fgColor rgb="FFE8F5E9"/>
      </patternFill>
    </fill>
  </fills>
  <borders count="8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 style="thin">
        <color rgb="FFAAAAAA"/>
      </top>
      <bottom style="thin">
        <color rgb="FFAAAAAA"/>
      </bottom>
      <diagonal/>
    </border>
    <border>
      <left/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 style="thin">
        <color rgb="FFAAAAAA"/>
      </top>
      <bottom style="thin">
        <color rgb="FFAAAAAA"/>
      </bottom>
      <diagonal/>
    </border>
    <border>
      <left/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2" fillId="13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24" fillId="16" borderId="2" xfId="0" applyFont="1" applyFill="1" applyBorder="1" applyAlignment="1">
      <alignment horizontal="center" vertical="center" wrapText="1"/>
    </xf>
    <xf numFmtId="0" fontId="27" fillId="18" borderId="2" xfId="0" applyFont="1" applyFill="1" applyBorder="1" applyAlignment="1">
      <alignment horizontal="center"/>
    </xf>
    <xf numFmtId="3" fontId="27" fillId="18" borderId="2" xfId="0" applyNumberFormat="1" applyFont="1" applyFill="1" applyBorder="1" applyAlignment="1">
      <alignment horizontal="center"/>
    </xf>
    <xf numFmtId="2" fontId="27" fillId="18" borderId="2" xfId="0" applyNumberFormat="1" applyFont="1" applyFill="1" applyBorder="1" applyAlignment="1">
      <alignment horizontal="center"/>
    </xf>
    <xf numFmtId="0" fontId="28" fillId="18" borderId="2" xfId="0" applyFont="1" applyFill="1" applyBorder="1" applyAlignment="1">
      <alignment horizontal="center"/>
    </xf>
    <xf numFmtId="0" fontId="27" fillId="19" borderId="2" xfId="0" applyFont="1" applyFill="1" applyBorder="1" applyAlignment="1">
      <alignment horizontal="center"/>
    </xf>
    <xf numFmtId="3" fontId="27" fillId="19" borderId="2" xfId="0" applyNumberFormat="1" applyFont="1" applyFill="1" applyBorder="1" applyAlignment="1">
      <alignment horizontal="center"/>
    </xf>
    <xf numFmtId="2" fontId="27" fillId="19" borderId="2" xfId="0" applyNumberFormat="1" applyFont="1" applyFill="1" applyBorder="1" applyAlignment="1">
      <alignment horizontal="center"/>
    </xf>
    <xf numFmtId="0" fontId="29" fillId="19" borderId="2" xfId="0" applyFont="1" applyFill="1" applyBorder="1" applyAlignment="1">
      <alignment horizontal="center"/>
    </xf>
    <xf numFmtId="0" fontId="27" fillId="20" borderId="2" xfId="0" applyFont="1" applyFill="1" applyBorder="1" applyAlignment="1">
      <alignment horizontal="center"/>
    </xf>
    <xf numFmtId="3" fontId="27" fillId="20" borderId="2" xfId="0" applyNumberFormat="1" applyFont="1" applyFill="1" applyBorder="1" applyAlignment="1">
      <alignment horizontal="center"/>
    </xf>
    <xf numFmtId="2" fontId="27" fillId="20" borderId="2" xfId="0" applyNumberFormat="1" applyFont="1" applyFill="1" applyBorder="1" applyAlignment="1">
      <alignment horizontal="center"/>
    </xf>
    <xf numFmtId="0" fontId="30" fillId="20" borderId="2" xfId="0" applyFont="1" applyFill="1" applyBorder="1" applyAlignment="1">
      <alignment horizontal="center"/>
    </xf>
    <xf numFmtId="0" fontId="27" fillId="21" borderId="2" xfId="0" applyFont="1" applyFill="1" applyBorder="1" applyAlignment="1">
      <alignment horizontal="center"/>
    </xf>
    <xf numFmtId="3" fontId="27" fillId="21" borderId="2" xfId="0" applyNumberFormat="1" applyFont="1" applyFill="1" applyBorder="1" applyAlignment="1">
      <alignment horizontal="center"/>
    </xf>
    <xf numFmtId="2" fontId="27" fillId="21" borderId="2" xfId="0" applyNumberFormat="1" applyFont="1" applyFill="1" applyBorder="1" applyAlignment="1">
      <alignment horizontal="center"/>
    </xf>
    <xf numFmtId="0" fontId="31" fillId="21" borderId="2" xfId="0" applyFont="1" applyFill="1" applyBorder="1" applyAlignment="1">
      <alignment horizontal="center"/>
    </xf>
    <xf numFmtId="0" fontId="36" fillId="24" borderId="5" xfId="0" applyFont="1" applyFill="1" applyBorder="1" applyAlignment="1">
      <alignment horizontal="center" vertical="center" wrapText="1"/>
    </xf>
    <xf numFmtId="0" fontId="37" fillId="26" borderId="5" xfId="0" applyFont="1" applyFill="1" applyBorder="1" applyAlignment="1">
      <alignment horizontal="center" vertical="center" wrapText="1"/>
    </xf>
    <xf numFmtId="0" fontId="38" fillId="26" borderId="5" xfId="0" applyFont="1" applyFill="1" applyBorder="1" applyAlignment="1">
      <alignment horizontal="center" vertical="center" wrapText="1"/>
    </xf>
    <xf numFmtId="0" fontId="39" fillId="27" borderId="5" xfId="0" applyFont="1" applyFill="1" applyBorder="1" applyAlignment="1">
      <alignment horizontal="center" vertical="center" wrapText="1"/>
    </xf>
    <xf numFmtId="0" fontId="38" fillId="27" borderId="5" xfId="0" applyFont="1" applyFill="1" applyBorder="1" applyAlignment="1">
      <alignment horizontal="center" vertical="center" wrapText="1"/>
    </xf>
    <xf numFmtId="0" fontId="40" fillId="28" borderId="5" xfId="0" applyFont="1" applyFill="1" applyBorder="1" applyAlignment="1">
      <alignment horizontal="center" vertical="center" wrapText="1"/>
    </xf>
    <xf numFmtId="0" fontId="38" fillId="28" borderId="5" xfId="0" applyFont="1" applyFill="1" applyBorder="1" applyAlignment="1">
      <alignment horizontal="center" vertical="center" wrapText="1"/>
    </xf>
    <xf numFmtId="0" fontId="41" fillId="0" borderId="0" xfId="0" applyFont="1"/>
    <xf numFmtId="0" fontId="42" fillId="0" borderId="0" xfId="0" applyFont="1"/>
    <xf numFmtId="0" fontId="23" fillId="17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26" fillId="23" borderId="2" xfId="0" applyFont="1" applyFill="1" applyBorder="1" applyAlignment="1">
      <alignment horizontal="left" vertical="center" wrapText="1"/>
    </xf>
    <xf numFmtId="0" fontId="26" fillId="22" borderId="2" xfId="0" applyFont="1" applyFill="1" applyBorder="1" applyAlignment="1">
      <alignment horizontal="left" vertical="center" wrapText="1"/>
    </xf>
    <xf numFmtId="0" fontId="22" fillId="16" borderId="2" xfId="0" applyFont="1" applyFill="1" applyBorder="1" applyAlignment="1">
      <alignment horizontal="center" vertical="center" wrapText="1"/>
    </xf>
    <xf numFmtId="0" fontId="32" fillId="22" borderId="2" xfId="0" applyFont="1" applyFill="1" applyBorder="1" applyAlignment="1">
      <alignment horizontal="left" vertical="center" wrapText="1"/>
    </xf>
    <xf numFmtId="0" fontId="25" fillId="16" borderId="2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15" fillId="12" borderId="2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8" fillId="14" borderId="2" xfId="0" applyFont="1" applyFill="1" applyBorder="1" applyAlignment="1">
      <alignment horizontal="center" vertical="center" wrapText="1"/>
    </xf>
    <xf numFmtId="0" fontId="18" fillId="11" borderId="2" xfId="0" applyFont="1" applyFill="1" applyBorder="1" applyAlignment="1">
      <alignment horizontal="center" vertical="center" wrapText="1"/>
    </xf>
    <xf numFmtId="0" fontId="35" fillId="25" borderId="5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7" xfId="0" applyBorder="1"/>
    <xf numFmtId="0" fontId="34" fillId="25" borderId="5" xfId="0" applyFont="1" applyFill="1" applyBorder="1" applyAlignment="1">
      <alignment horizontal="center" vertical="center" wrapText="1"/>
    </xf>
    <xf numFmtId="0" fontId="33" fillId="24" borderId="5" xfId="0" applyFont="1" applyFill="1" applyBorder="1" applyAlignment="1">
      <alignment horizontal="center" vertical="center" wrapText="1"/>
    </xf>
    <xf numFmtId="0" fontId="20" fillId="15" borderId="0" xfId="0" applyFont="1" applyFill="1" applyAlignment="1">
      <alignment horizontal="left" vertical="center"/>
    </xf>
    <xf numFmtId="0" fontId="0" fillId="0" borderId="0" xfId="0"/>
    <xf numFmtId="0" fontId="20" fillId="12" borderId="0" xfId="0" applyFont="1" applyFill="1" applyAlignment="1">
      <alignment horizontal="left" vertical="center"/>
    </xf>
    <xf numFmtId="0" fontId="16" fillId="2" borderId="2" xfId="0" applyFont="1" applyFill="1" applyBorder="1" applyAlignment="1">
      <alignment horizontal="left" vertical="center" wrapText="1"/>
    </xf>
    <xf numFmtId="0" fontId="12" fillId="4" borderId="2" xfId="0" applyFont="1" applyFill="1" applyBorder="1" applyAlignment="1">
      <alignment horizontal="left" vertical="center" wrapText="1"/>
    </xf>
    <xf numFmtId="0" fontId="19" fillId="2" borderId="2" xfId="0" applyFont="1" applyFill="1" applyBorder="1" applyAlignment="1">
      <alignment horizontal="left" vertical="center" wrapText="1"/>
    </xf>
    <xf numFmtId="0" fontId="19" fillId="3" borderId="2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1" defaultTableStyle="TableStyleMedium9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10 Industries by Total Loans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36247080002988"/>
          <c:y val="8.7273302469135797E-2"/>
          <c:w val="0.85447975642143115"/>
          <c:h val="0.87706033950617279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'Business Categories'!$K$45</c:f>
              <c:strCache>
                <c:ptCount val="1"/>
                <c:pt idx="0">
                  <c:v>Total Loans</c:v>
                </c:pt>
              </c:strCache>
            </c:strRef>
          </c:tx>
          <c:invertIfNegative val="1"/>
          <c:dPt>
            <c:idx val="0"/>
            <c:invertIfNegative val="1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invertIfNegative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invertIfNegative val="1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invertIfNegative val="1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invertIfNegative val="1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invertIfNegative val="1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invertIfNegative val="1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invertIfNegative val="1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invertIfNegative val="1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invertIfNegative val="1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'Business Categories'!$J$46:$J$55</c:f>
              <c:strCache>
                <c:ptCount val="10"/>
                <c:pt idx="0">
                  <c:v>Full-Service Restaurants</c:v>
                </c:pt>
                <c:pt idx="1">
                  <c:v>Limited-Service Restaurants</c:v>
                </c:pt>
                <c:pt idx="2">
                  <c:v>Landscaping Services</c:v>
                </c:pt>
                <c:pt idx="3">
                  <c:v>Specialty Trade Contractors</c:v>
                </c:pt>
                <c:pt idx="4">
                  <c:v>Residential Remodelers</c:v>
                </c:pt>
                <c:pt idx="5">
                  <c:v>Fitness &amp; Recreation Centers</c:v>
                </c:pt>
                <c:pt idx="6">
                  <c:v>Plumbing &amp; HVAC Contractors</c:v>
                </c:pt>
                <c:pt idx="7">
                  <c:v>Offices of Lawyers</c:v>
                </c:pt>
                <c:pt idx="8">
                  <c:v>Personal Care Services</c:v>
                </c:pt>
                <c:pt idx="9">
                  <c:v>Hotels &amp; Motels</c:v>
                </c:pt>
              </c:strCache>
            </c:strRef>
          </c:cat>
          <c:val>
            <c:numRef>
              <c:f>'Business Categories'!$K$46:$K$55</c:f>
              <c:numCache>
                <c:formatCode>General</c:formatCode>
                <c:ptCount val="10"/>
                <c:pt idx="0">
                  <c:v>13017</c:v>
                </c:pt>
                <c:pt idx="1">
                  <c:v>9168</c:v>
                </c:pt>
                <c:pt idx="2">
                  <c:v>6250</c:v>
                </c:pt>
                <c:pt idx="3">
                  <c:v>6128</c:v>
                </c:pt>
                <c:pt idx="4">
                  <c:v>6090</c:v>
                </c:pt>
                <c:pt idx="5">
                  <c:v>5358</c:v>
                </c:pt>
                <c:pt idx="6">
                  <c:v>4876</c:v>
                </c:pt>
                <c:pt idx="7">
                  <c:v>3262</c:v>
                </c:pt>
                <c:pt idx="8">
                  <c:v>3116</c:v>
                </c:pt>
                <c:pt idx="9">
                  <c:v>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5-487C-A859-9B626DFB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0"/>
        <c:axId val="100"/>
      </c:barChart>
      <c:catAx>
        <c:axId val="1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Loans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AU"/>
              <a:t>Default Rate % by Year (2020-2026)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spPr>
            <a:ln w="25000">
              <a:solidFill>
                <a:srgbClr val="C00000"/>
              </a:solidFill>
              <a:prstDash val="solid"/>
            </a:ln>
          </c:spPr>
          <c:marker>
            <c:symbol val="circle"/>
            <c:size val="8"/>
            <c:spPr>
              <a:ln>
                <a:prstDash val="solid"/>
              </a:ln>
            </c:spPr>
          </c:marker>
          <c:cat>
            <c:numRef>
              <c:f>'Yearly Default Trend'!$A$4:$A$10</c:f>
              <c:numCache>
                <c:formatCode>General</c:formatCode>
                <c:ptCount val="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</c:numCache>
            </c:numRef>
          </c:cat>
          <c:val>
            <c:numRef>
              <c:f>'Yearly Default Trend'!$D$4:$D$10</c:f>
              <c:numCache>
                <c:formatCode>0.00</c:formatCode>
                <c:ptCount val="7"/>
                <c:pt idx="0">
                  <c:v>6.72</c:v>
                </c:pt>
                <c:pt idx="1">
                  <c:v>5.99</c:v>
                </c:pt>
                <c:pt idx="2">
                  <c:v>8.98</c:v>
                </c:pt>
                <c:pt idx="3">
                  <c:v>9.75</c:v>
                </c:pt>
                <c:pt idx="4">
                  <c:v>5.0999999999999996</c:v>
                </c:pt>
                <c:pt idx="5">
                  <c:v>1.62</c:v>
                </c:pt>
                <c:pt idx="6">
                  <c:v>7.0000000000000007E-2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3A9-4EAA-8BB7-2FD431BC8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Default Rate %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0</xdr:row>
          <xdr:rowOff>0</xdr:rowOff>
        </xdr:from>
        <xdr:to>
          <xdr:col>10</xdr:col>
          <xdr:colOff>144780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3A8B9CA-8D2C-2DC6-55DE-0F222D49A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537882</xdr:colOff>
      <xdr:row>2</xdr:row>
      <xdr:rowOff>104587</xdr:rowOff>
    </xdr:from>
    <xdr:ext cx="13178118" cy="673847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50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3"/>
  <sheetViews>
    <sheetView showGridLines="0" topLeftCell="A9" workbookViewId="0">
      <selection activeCell="A20" sqref="A20:H20"/>
    </sheetView>
  </sheetViews>
  <sheetFormatPr defaultRowHeight="14.4" x14ac:dyDescent="0.3"/>
  <cols>
    <col min="1" max="1" width="13.44140625" bestFit="1" customWidth="1"/>
    <col min="2" max="2" width="11.77734375" bestFit="1" customWidth="1"/>
    <col min="3" max="3" width="10.5546875" bestFit="1" customWidth="1"/>
    <col min="4" max="4" width="11.6640625" bestFit="1" customWidth="1"/>
    <col min="5" max="5" width="14.21875" bestFit="1" customWidth="1"/>
    <col min="6" max="6" width="13.21875" bestFit="1" customWidth="1"/>
    <col min="7" max="7" width="13.6640625" bestFit="1" customWidth="1"/>
    <col min="8" max="8" width="22.44140625" bestFit="1" customWidth="1"/>
  </cols>
  <sheetData>
    <row r="1" spans="1:8" ht="45" customHeight="1" x14ac:dyDescent="0.3">
      <c r="A1" s="59" t="s">
        <v>19</v>
      </c>
      <c r="B1" s="47"/>
      <c r="C1" s="47"/>
      <c r="D1" s="47"/>
      <c r="E1" s="47"/>
      <c r="F1" s="47"/>
      <c r="G1" s="47"/>
      <c r="H1" s="48"/>
    </row>
    <row r="2" spans="1:8" ht="25.05" customHeight="1" x14ac:dyDescent="0.3">
      <c r="A2" s="57" t="s">
        <v>20</v>
      </c>
      <c r="B2" s="47"/>
      <c r="C2" s="47"/>
      <c r="D2" s="47"/>
      <c r="E2" s="47"/>
      <c r="F2" s="47"/>
      <c r="G2" s="47"/>
      <c r="H2" s="48"/>
    </row>
    <row r="4" spans="1:8" ht="30" customHeight="1" x14ac:dyDescent="0.3">
      <c r="A4" s="55" t="s">
        <v>21</v>
      </c>
      <c r="B4" s="47"/>
      <c r="C4" s="47"/>
      <c r="D4" s="47"/>
      <c r="E4" s="47"/>
      <c r="F4" s="47"/>
      <c r="G4" s="47"/>
      <c r="H4" s="48"/>
    </row>
    <row r="5" spans="1:8" ht="25.05" customHeight="1" x14ac:dyDescent="0.3">
      <c r="A5" s="1" t="s">
        <v>3</v>
      </c>
      <c r="B5" s="2" t="s">
        <v>4</v>
      </c>
      <c r="C5" s="3" t="s">
        <v>22</v>
      </c>
      <c r="D5" s="2" t="s">
        <v>23</v>
      </c>
      <c r="E5" s="3" t="s">
        <v>24</v>
      </c>
      <c r="F5" s="4" t="s">
        <v>25</v>
      </c>
      <c r="G5" s="2" t="s">
        <v>26</v>
      </c>
      <c r="H5" s="5" t="s">
        <v>27</v>
      </c>
    </row>
    <row r="6" spans="1:8" ht="34.950000000000003" customHeight="1" x14ac:dyDescent="0.3">
      <c r="A6" s="6" t="s">
        <v>28</v>
      </c>
      <c r="B6" s="7" t="s">
        <v>29</v>
      </c>
      <c r="C6" s="8" t="s">
        <v>30</v>
      </c>
      <c r="D6" s="7" t="s">
        <v>31</v>
      </c>
      <c r="E6" s="8" t="s">
        <v>32</v>
      </c>
      <c r="F6" s="9" t="s">
        <v>33</v>
      </c>
      <c r="G6" s="7" t="s">
        <v>34</v>
      </c>
      <c r="H6" s="10" t="s">
        <v>35</v>
      </c>
    </row>
    <row r="8" spans="1:8" ht="30" customHeight="1" x14ac:dyDescent="0.3">
      <c r="A8" s="58" t="s">
        <v>36</v>
      </c>
      <c r="B8" s="47"/>
      <c r="C8" s="47"/>
      <c r="D8" s="47"/>
      <c r="E8" s="47"/>
      <c r="F8" s="47"/>
      <c r="G8" s="47"/>
      <c r="H8" s="48"/>
    </row>
    <row r="9" spans="1:8" ht="30" customHeight="1" x14ac:dyDescent="0.3">
      <c r="A9" s="11" t="s">
        <v>37</v>
      </c>
      <c r="B9" s="11" t="s">
        <v>3</v>
      </c>
      <c r="C9" s="11" t="s">
        <v>38</v>
      </c>
      <c r="D9" s="11" t="s">
        <v>22</v>
      </c>
      <c r="E9" s="11" t="s">
        <v>39</v>
      </c>
      <c r="F9" s="11" t="s">
        <v>40</v>
      </c>
      <c r="G9" s="11" t="s">
        <v>41</v>
      </c>
      <c r="H9" s="11" t="s">
        <v>42</v>
      </c>
    </row>
    <row r="10" spans="1:8" ht="22.05" customHeight="1" x14ac:dyDescent="0.3">
      <c r="A10" s="12" t="s">
        <v>43</v>
      </c>
      <c r="B10" s="13" t="s">
        <v>34</v>
      </c>
      <c r="C10" s="13" t="s">
        <v>44</v>
      </c>
      <c r="D10" s="13" t="s">
        <v>45</v>
      </c>
      <c r="E10" s="13" t="s">
        <v>46</v>
      </c>
      <c r="F10" s="13" t="s">
        <v>47</v>
      </c>
      <c r="G10" s="13" t="s">
        <v>48</v>
      </c>
      <c r="H10" s="13" t="s">
        <v>49</v>
      </c>
    </row>
    <row r="11" spans="1:8" ht="22.05" customHeight="1" x14ac:dyDescent="0.3">
      <c r="A11" s="14" t="s">
        <v>50</v>
      </c>
      <c r="B11" s="15" t="s">
        <v>33</v>
      </c>
      <c r="C11" s="15" t="s">
        <v>51</v>
      </c>
      <c r="D11" s="15" t="s">
        <v>52</v>
      </c>
      <c r="E11" s="15" t="s">
        <v>53</v>
      </c>
      <c r="F11" s="15" t="s">
        <v>47</v>
      </c>
      <c r="G11" s="15" t="s">
        <v>54</v>
      </c>
      <c r="H11" s="15" t="s">
        <v>55</v>
      </c>
    </row>
    <row r="12" spans="1:8" ht="22.05" customHeight="1" x14ac:dyDescent="0.3">
      <c r="A12" s="16" t="s">
        <v>56</v>
      </c>
      <c r="B12" s="17" t="s">
        <v>57</v>
      </c>
      <c r="C12" s="17" t="s">
        <v>58</v>
      </c>
      <c r="D12" s="17" t="s">
        <v>59</v>
      </c>
      <c r="E12" s="17" t="s">
        <v>60</v>
      </c>
      <c r="F12" s="17" t="s">
        <v>47</v>
      </c>
      <c r="G12" s="17" t="s">
        <v>61</v>
      </c>
      <c r="H12" s="17" t="s">
        <v>62</v>
      </c>
    </row>
    <row r="13" spans="1:8" ht="30" customHeight="1" x14ac:dyDescent="0.3">
      <c r="A13" s="58" t="s">
        <v>63</v>
      </c>
      <c r="B13" s="47"/>
      <c r="C13" s="47"/>
      <c r="D13" s="47"/>
      <c r="E13" s="47"/>
      <c r="F13" s="47"/>
      <c r="G13" s="47"/>
      <c r="H13" s="48"/>
    </row>
    <row r="14" spans="1:8" ht="19.95" customHeight="1" x14ac:dyDescent="0.3">
      <c r="A14" s="54" t="s">
        <v>64</v>
      </c>
      <c r="B14" s="47"/>
      <c r="C14" s="47"/>
      <c r="D14" s="47"/>
      <c r="E14" s="47"/>
      <c r="F14" s="47"/>
      <c r="G14" s="47"/>
      <c r="H14" s="48"/>
    </row>
    <row r="15" spans="1:8" ht="19.95" customHeight="1" x14ac:dyDescent="0.3">
      <c r="A15" s="56" t="s">
        <v>65</v>
      </c>
      <c r="B15" s="47"/>
      <c r="C15" s="47"/>
      <c r="D15" s="47"/>
      <c r="E15" s="47"/>
      <c r="F15" s="47"/>
      <c r="G15" s="47"/>
      <c r="H15" s="48"/>
    </row>
    <row r="16" spans="1:8" ht="19.95" customHeight="1" x14ac:dyDescent="0.3">
      <c r="A16" s="54" t="s">
        <v>66</v>
      </c>
      <c r="B16" s="47"/>
      <c r="C16" s="47"/>
      <c r="D16" s="47"/>
      <c r="E16" s="47"/>
      <c r="F16" s="47"/>
      <c r="G16" s="47"/>
      <c r="H16" s="48"/>
    </row>
    <row r="17" spans="1:8" ht="19.95" customHeight="1" x14ac:dyDescent="0.3">
      <c r="A17" s="56" t="s">
        <v>67</v>
      </c>
      <c r="B17" s="47"/>
      <c r="C17" s="47"/>
      <c r="D17" s="47"/>
      <c r="E17" s="47"/>
      <c r="F17" s="47"/>
      <c r="G17" s="47"/>
      <c r="H17" s="48"/>
    </row>
    <row r="18" spans="1:8" ht="19.95" customHeight="1" x14ac:dyDescent="0.3">
      <c r="A18" s="54" t="s">
        <v>68</v>
      </c>
      <c r="B18" s="47"/>
      <c r="C18" s="47"/>
      <c r="D18" s="47"/>
      <c r="E18" s="47"/>
      <c r="F18" s="47"/>
      <c r="G18" s="47"/>
      <c r="H18" s="48"/>
    </row>
    <row r="19" spans="1:8" ht="19.95" customHeight="1" x14ac:dyDescent="0.3">
      <c r="A19" s="56" t="s">
        <v>69</v>
      </c>
      <c r="B19" s="47"/>
      <c r="C19" s="47"/>
      <c r="D19" s="47"/>
      <c r="E19" s="47"/>
      <c r="F19" s="47"/>
      <c r="G19" s="47"/>
      <c r="H19" s="48"/>
    </row>
    <row r="20" spans="1:8" ht="19.95" customHeight="1" x14ac:dyDescent="0.3">
      <c r="A20" s="54" t="s">
        <v>70</v>
      </c>
      <c r="B20" s="47"/>
      <c r="C20" s="47"/>
      <c r="D20" s="47"/>
      <c r="E20" s="47"/>
      <c r="F20" s="47"/>
      <c r="G20" s="47"/>
      <c r="H20" s="48"/>
    </row>
    <row r="21" spans="1:8" ht="19.95" customHeight="1" x14ac:dyDescent="0.3">
      <c r="A21" s="56" t="s">
        <v>71</v>
      </c>
      <c r="B21" s="47"/>
      <c r="C21" s="47"/>
      <c r="D21" s="47"/>
      <c r="E21" s="47"/>
      <c r="F21" s="47"/>
      <c r="G21" s="47"/>
      <c r="H21" s="48"/>
    </row>
    <row r="22" spans="1:8" ht="19.95" customHeight="1" x14ac:dyDescent="0.3">
      <c r="A22" s="54" t="s">
        <v>72</v>
      </c>
      <c r="B22" s="47"/>
      <c r="C22" s="47"/>
      <c r="D22" s="47"/>
      <c r="E22" s="47"/>
      <c r="F22" s="47"/>
      <c r="G22" s="47"/>
      <c r="H22" s="48"/>
    </row>
    <row r="23" spans="1:8" ht="19.95" customHeight="1" x14ac:dyDescent="0.3">
      <c r="A23" s="56" t="s">
        <v>73</v>
      </c>
      <c r="B23" s="47"/>
      <c r="C23" s="47"/>
      <c r="D23" s="47"/>
      <c r="E23" s="47"/>
      <c r="F23" s="47"/>
      <c r="G23" s="47"/>
      <c r="H23" s="48"/>
    </row>
  </sheetData>
  <mergeCells count="15">
    <mergeCell ref="A1:H1"/>
    <mergeCell ref="A23:H23"/>
    <mergeCell ref="A8:H8"/>
    <mergeCell ref="A22:H22"/>
    <mergeCell ref="A17:H17"/>
    <mergeCell ref="A2:H2"/>
    <mergeCell ref="A16:H16"/>
    <mergeCell ref="A13:H13"/>
    <mergeCell ref="A14:H14"/>
    <mergeCell ref="A19:H19"/>
    <mergeCell ref="A18:H18"/>
    <mergeCell ref="A4:H4"/>
    <mergeCell ref="A21:H21"/>
    <mergeCell ref="A15:H15"/>
    <mergeCell ref="A20:H20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Dashboard">
                <anchor moveWithCells="1" sizeWithCells="1">
                  <from>
                    <xdr:col>8</xdr:col>
                    <xdr:colOff>7620</xdr:colOff>
                    <xdr:row>0</xdr:row>
                    <xdr:rowOff>0</xdr:rowOff>
                  </from>
                  <to>
                    <xdr:col>10</xdr:col>
                    <xdr:colOff>144780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topLeftCell="A4" workbookViewId="0">
      <selection activeCell="F22" sqref="F22"/>
    </sheetView>
  </sheetViews>
  <sheetFormatPr defaultRowHeight="14.4" x14ac:dyDescent="0.3"/>
  <cols>
    <col min="1" max="1" width="13.33203125" bestFit="1" customWidth="1"/>
    <col min="2" max="2" width="11.21875" bestFit="1" customWidth="1"/>
    <col min="3" max="3" width="8.109375" bestFit="1" customWidth="1"/>
    <col min="4" max="4" width="11.6640625" bestFit="1" customWidth="1"/>
    <col min="5" max="5" width="12.109375" bestFit="1" customWidth="1"/>
    <col min="6" max="6" width="19.21875" bestFit="1" customWidth="1"/>
  </cols>
  <sheetData>
    <row r="1" spans="1:6" ht="40.049999999999997" customHeight="1" x14ac:dyDescent="0.3">
      <c r="A1" s="60" t="s">
        <v>74</v>
      </c>
      <c r="B1" s="47"/>
      <c r="C1" s="47"/>
      <c r="D1" s="47"/>
      <c r="E1" s="47"/>
      <c r="F1" s="48"/>
    </row>
    <row r="3" spans="1:6" x14ac:dyDescent="0.3">
      <c r="A3" s="55" t="s">
        <v>75</v>
      </c>
      <c r="B3" s="47"/>
      <c r="C3" s="47"/>
      <c r="D3" s="47"/>
      <c r="E3" s="47"/>
      <c r="F3" s="48"/>
    </row>
    <row r="4" spans="1:6" ht="30" customHeight="1" x14ac:dyDescent="0.3">
      <c r="A4" s="11" t="s">
        <v>76</v>
      </c>
      <c r="B4" s="11" t="s">
        <v>3</v>
      </c>
      <c r="C4" s="11" t="s">
        <v>38</v>
      </c>
      <c r="D4" s="11" t="s">
        <v>22</v>
      </c>
      <c r="E4" s="11" t="s">
        <v>39</v>
      </c>
      <c r="F4" s="11" t="s">
        <v>7</v>
      </c>
    </row>
    <row r="5" spans="1:6" ht="22.05" customHeight="1" x14ac:dyDescent="0.3">
      <c r="A5" s="13" t="s">
        <v>77</v>
      </c>
      <c r="B5" s="13" t="s">
        <v>78</v>
      </c>
      <c r="C5" s="13" t="s">
        <v>79</v>
      </c>
      <c r="D5" s="13" t="s">
        <v>80</v>
      </c>
      <c r="E5" s="13" t="s">
        <v>81</v>
      </c>
      <c r="F5" s="13" t="s">
        <v>82</v>
      </c>
    </row>
    <row r="6" spans="1:6" ht="22.05" customHeight="1" x14ac:dyDescent="0.3">
      <c r="A6" s="17" t="s">
        <v>83</v>
      </c>
      <c r="B6" s="17" t="s">
        <v>84</v>
      </c>
      <c r="C6" s="17" t="s">
        <v>85</v>
      </c>
      <c r="D6" s="17" t="s">
        <v>86</v>
      </c>
      <c r="E6" s="17" t="s">
        <v>87</v>
      </c>
      <c r="F6" s="17" t="s">
        <v>88</v>
      </c>
    </row>
    <row r="7" spans="1:6" ht="22.05" customHeight="1" x14ac:dyDescent="0.3">
      <c r="A7" s="17" t="s">
        <v>89</v>
      </c>
      <c r="B7" s="17" t="s">
        <v>90</v>
      </c>
      <c r="C7" s="17" t="s">
        <v>91</v>
      </c>
      <c r="D7" s="17" t="s">
        <v>92</v>
      </c>
      <c r="E7" s="17" t="s">
        <v>93</v>
      </c>
      <c r="F7" s="17" t="s">
        <v>94</v>
      </c>
    </row>
    <row r="8" spans="1:6" ht="22.05" customHeight="1" x14ac:dyDescent="0.3">
      <c r="A8" s="15" t="s">
        <v>95</v>
      </c>
      <c r="B8" s="15" t="s">
        <v>96</v>
      </c>
      <c r="C8" s="15" t="s">
        <v>97</v>
      </c>
      <c r="D8" s="15" t="s">
        <v>98</v>
      </c>
      <c r="E8" s="15" t="s">
        <v>99</v>
      </c>
      <c r="F8" s="15" t="s">
        <v>100</v>
      </c>
    </row>
    <row r="9" spans="1:6" ht="22.05" customHeight="1" x14ac:dyDescent="0.3">
      <c r="A9" s="15" t="s">
        <v>101</v>
      </c>
      <c r="B9" s="15" t="s">
        <v>102</v>
      </c>
      <c r="C9" s="15" t="s">
        <v>103</v>
      </c>
      <c r="D9" s="15" t="s">
        <v>104</v>
      </c>
      <c r="E9" s="15" t="s">
        <v>105</v>
      </c>
      <c r="F9" s="15" t="s">
        <v>106</v>
      </c>
    </row>
    <row r="12" spans="1:6" x14ac:dyDescent="0.3">
      <c r="A12" s="55" t="s">
        <v>107</v>
      </c>
      <c r="B12" s="47"/>
      <c r="C12" s="47"/>
      <c r="D12" s="47"/>
      <c r="E12" s="47"/>
      <c r="F12" s="48"/>
    </row>
    <row r="13" spans="1:6" ht="30" customHeight="1" x14ac:dyDescent="0.3">
      <c r="A13" s="11" t="s">
        <v>108</v>
      </c>
      <c r="B13" s="11" t="s">
        <v>3</v>
      </c>
      <c r="C13" s="11" t="s">
        <v>38</v>
      </c>
      <c r="D13" s="11" t="s">
        <v>22</v>
      </c>
      <c r="E13" s="11" t="s">
        <v>109</v>
      </c>
      <c r="F13" s="11" t="s">
        <v>110</v>
      </c>
    </row>
    <row r="14" spans="1:6" ht="22.05" customHeight="1" x14ac:dyDescent="0.3">
      <c r="A14" s="15" t="s">
        <v>111</v>
      </c>
      <c r="B14" s="15" t="s">
        <v>112</v>
      </c>
      <c r="C14" s="15" t="s">
        <v>113</v>
      </c>
      <c r="D14" s="15" t="s">
        <v>114</v>
      </c>
      <c r="E14" s="15" t="s">
        <v>9</v>
      </c>
      <c r="F14" s="15" t="s">
        <v>115</v>
      </c>
    </row>
    <row r="15" spans="1:6" ht="22.05" customHeight="1" x14ac:dyDescent="0.3">
      <c r="A15" s="17" t="s">
        <v>116</v>
      </c>
      <c r="B15" s="17" t="s">
        <v>117</v>
      </c>
      <c r="C15" s="17" t="s">
        <v>118</v>
      </c>
      <c r="D15" s="17" t="s">
        <v>119</v>
      </c>
      <c r="E15" s="17" t="s">
        <v>8</v>
      </c>
      <c r="F15" s="17" t="s">
        <v>120</v>
      </c>
    </row>
    <row r="16" spans="1:6" ht="22.05" customHeight="1" x14ac:dyDescent="0.3">
      <c r="A16" s="13" t="s">
        <v>121</v>
      </c>
      <c r="B16" s="13" t="s">
        <v>122</v>
      </c>
      <c r="C16" s="13" t="s">
        <v>123</v>
      </c>
      <c r="D16" s="13" t="s">
        <v>124</v>
      </c>
      <c r="E16" s="13" t="s">
        <v>10</v>
      </c>
      <c r="F16" s="13" t="s">
        <v>125</v>
      </c>
    </row>
    <row r="17" spans="1:6" ht="22.05" customHeight="1" x14ac:dyDescent="0.3">
      <c r="A17" s="17" t="s">
        <v>126</v>
      </c>
      <c r="B17" s="17" t="s">
        <v>127</v>
      </c>
      <c r="C17" s="17" t="s">
        <v>128</v>
      </c>
      <c r="D17" s="17" t="s">
        <v>129</v>
      </c>
      <c r="E17" s="17" t="s">
        <v>8</v>
      </c>
      <c r="F17" s="17" t="s">
        <v>130</v>
      </c>
    </row>
    <row r="18" spans="1:6" ht="22.05" customHeight="1" x14ac:dyDescent="0.3">
      <c r="A18" s="13" t="s">
        <v>131</v>
      </c>
      <c r="B18" s="13" t="s">
        <v>132</v>
      </c>
      <c r="C18" s="13" t="s">
        <v>133</v>
      </c>
      <c r="D18" s="13" t="s">
        <v>134</v>
      </c>
      <c r="E18" s="13" t="s">
        <v>10</v>
      </c>
      <c r="F18" s="13" t="s">
        <v>135</v>
      </c>
    </row>
  </sheetData>
  <mergeCells count="3">
    <mergeCell ref="A3:F3"/>
    <mergeCell ref="A1:F1"/>
    <mergeCell ref="A12:F1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"/>
  <sheetViews>
    <sheetView showGridLines="0" topLeftCell="A4" workbookViewId="0">
      <selection sqref="A1:F1"/>
    </sheetView>
  </sheetViews>
  <sheetFormatPr defaultRowHeight="14.4" x14ac:dyDescent="0.3"/>
  <cols>
    <col min="1" max="1" width="27.88671875" bestFit="1" customWidth="1"/>
    <col min="2" max="2" width="11.21875" bestFit="1" customWidth="1"/>
    <col min="3" max="3" width="8.109375" bestFit="1" customWidth="1"/>
    <col min="4" max="4" width="11.6640625" bestFit="1" customWidth="1"/>
    <col min="5" max="5" width="12.109375" bestFit="1" customWidth="1"/>
    <col min="6" max="6" width="10.6640625" bestFit="1" customWidth="1"/>
  </cols>
  <sheetData>
    <row r="1" spans="1:6" ht="40.049999999999997" customHeight="1" x14ac:dyDescent="0.3">
      <c r="A1" s="60" t="s">
        <v>136</v>
      </c>
      <c r="B1" s="47"/>
      <c r="C1" s="47"/>
      <c r="D1" s="47"/>
      <c r="E1" s="47"/>
      <c r="F1" s="48"/>
    </row>
    <row r="2" spans="1:6" ht="22.05" customHeight="1" x14ac:dyDescent="0.3">
      <c r="A2" s="61" t="s">
        <v>137</v>
      </c>
      <c r="B2" s="47"/>
      <c r="C2" s="47"/>
      <c r="D2" s="47"/>
      <c r="E2" s="47"/>
      <c r="F2" s="48"/>
    </row>
    <row r="3" spans="1:6" ht="30" customHeight="1" x14ac:dyDescent="0.3">
      <c r="A3" s="11" t="s">
        <v>138</v>
      </c>
      <c r="B3" s="11" t="s">
        <v>3</v>
      </c>
      <c r="C3" s="11" t="s">
        <v>38</v>
      </c>
      <c r="D3" s="11" t="s">
        <v>22</v>
      </c>
      <c r="E3" s="11" t="s">
        <v>39</v>
      </c>
      <c r="F3" s="11" t="s">
        <v>7</v>
      </c>
    </row>
    <row r="4" spans="1:6" ht="22.05" customHeight="1" x14ac:dyDescent="0.3">
      <c r="A4" s="13" t="s">
        <v>139</v>
      </c>
      <c r="B4" s="13" t="s">
        <v>140</v>
      </c>
      <c r="C4" s="13" t="s">
        <v>141</v>
      </c>
      <c r="D4" s="13" t="s">
        <v>142</v>
      </c>
      <c r="E4" s="13" t="s">
        <v>143</v>
      </c>
      <c r="F4" s="13" t="s">
        <v>11</v>
      </c>
    </row>
    <row r="5" spans="1:6" ht="22.05" customHeight="1" x14ac:dyDescent="0.3">
      <c r="A5" s="18" t="s">
        <v>144</v>
      </c>
      <c r="B5" s="18" t="s">
        <v>145</v>
      </c>
      <c r="C5" s="18" t="s">
        <v>146</v>
      </c>
      <c r="D5" s="18" t="s">
        <v>147</v>
      </c>
      <c r="E5" s="18" t="s">
        <v>148</v>
      </c>
      <c r="F5" s="18" t="s">
        <v>149</v>
      </c>
    </row>
    <row r="6" spans="1:6" ht="22.05" customHeight="1" x14ac:dyDescent="0.3">
      <c r="A6" s="17" t="s">
        <v>150</v>
      </c>
      <c r="B6" s="17" t="s">
        <v>151</v>
      </c>
      <c r="C6" s="17" t="s">
        <v>152</v>
      </c>
      <c r="D6" s="17" t="s">
        <v>153</v>
      </c>
      <c r="E6" s="17" t="s">
        <v>154</v>
      </c>
      <c r="F6" s="17" t="s">
        <v>10</v>
      </c>
    </row>
    <row r="7" spans="1:6" ht="22.05" customHeight="1" x14ac:dyDescent="0.3">
      <c r="A7" s="17" t="s">
        <v>155</v>
      </c>
      <c r="B7" s="17" t="s">
        <v>156</v>
      </c>
      <c r="C7" s="17" t="s">
        <v>157</v>
      </c>
      <c r="D7" s="17" t="s">
        <v>158</v>
      </c>
      <c r="E7" s="17" t="s">
        <v>159</v>
      </c>
      <c r="F7" s="17" t="s">
        <v>10</v>
      </c>
    </row>
    <row r="8" spans="1:6" ht="22.05" customHeight="1" x14ac:dyDescent="0.3">
      <c r="A8" s="17" t="s">
        <v>160</v>
      </c>
      <c r="B8" s="17" t="s">
        <v>161</v>
      </c>
      <c r="C8" s="17" t="s">
        <v>162</v>
      </c>
      <c r="D8" s="17" t="s">
        <v>163</v>
      </c>
      <c r="E8" s="17" t="s">
        <v>164</v>
      </c>
      <c r="F8" s="17" t="s">
        <v>10</v>
      </c>
    </row>
    <row r="9" spans="1:6" ht="22.05" customHeight="1" x14ac:dyDescent="0.3">
      <c r="A9" s="17" t="s">
        <v>165</v>
      </c>
      <c r="B9" s="17" t="s">
        <v>166</v>
      </c>
      <c r="C9" s="17" t="s">
        <v>167</v>
      </c>
      <c r="D9" s="17" t="s">
        <v>168</v>
      </c>
      <c r="E9" s="17" t="s">
        <v>169</v>
      </c>
      <c r="F9" s="17" t="s">
        <v>10</v>
      </c>
    </row>
    <row r="10" spans="1:6" ht="22.05" customHeight="1" x14ac:dyDescent="0.3">
      <c r="A10" s="17" t="s">
        <v>170</v>
      </c>
      <c r="B10" s="17" t="s">
        <v>171</v>
      </c>
      <c r="C10" s="17" t="s">
        <v>172</v>
      </c>
      <c r="D10" s="17" t="s">
        <v>173</v>
      </c>
      <c r="E10" s="17" t="s">
        <v>174</v>
      </c>
      <c r="F10" s="17" t="s">
        <v>10</v>
      </c>
    </row>
    <row r="11" spans="1:6" ht="22.05" customHeight="1" x14ac:dyDescent="0.3">
      <c r="A11" s="17" t="s">
        <v>175</v>
      </c>
      <c r="B11" s="17" t="s">
        <v>176</v>
      </c>
      <c r="C11" s="17" t="s">
        <v>177</v>
      </c>
      <c r="D11" s="17" t="s">
        <v>178</v>
      </c>
      <c r="E11" s="17" t="s">
        <v>179</v>
      </c>
      <c r="F11" s="17" t="s">
        <v>10</v>
      </c>
    </row>
    <row r="12" spans="1:6" ht="22.05" customHeight="1" x14ac:dyDescent="0.3">
      <c r="A12" s="17" t="s">
        <v>180</v>
      </c>
      <c r="B12" s="17" t="s">
        <v>181</v>
      </c>
      <c r="C12" s="17" t="s">
        <v>152</v>
      </c>
      <c r="D12" s="17" t="s">
        <v>182</v>
      </c>
      <c r="E12" s="17" t="s">
        <v>183</v>
      </c>
      <c r="F12" s="17" t="s">
        <v>10</v>
      </c>
    </row>
    <row r="13" spans="1:6" ht="22.05" customHeight="1" x14ac:dyDescent="0.3">
      <c r="A13" s="17" t="s">
        <v>184</v>
      </c>
      <c r="B13" s="17" t="s">
        <v>185</v>
      </c>
      <c r="C13" s="17" t="s">
        <v>186</v>
      </c>
      <c r="D13" s="17" t="s">
        <v>187</v>
      </c>
      <c r="E13" s="17" t="s">
        <v>188</v>
      </c>
      <c r="F13" s="17" t="s">
        <v>10</v>
      </c>
    </row>
    <row r="15" spans="1:6" ht="25.05" customHeight="1" x14ac:dyDescent="0.3">
      <c r="A15" s="62" t="s">
        <v>189</v>
      </c>
      <c r="B15" s="47"/>
      <c r="C15" s="47"/>
      <c r="D15" s="47"/>
      <c r="E15" s="47"/>
      <c r="F15" s="48"/>
    </row>
  </sheetData>
  <mergeCells count="3">
    <mergeCell ref="A2:F2"/>
    <mergeCell ref="A1:F1"/>
    <mergeCell ref="A15:F15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8"/>
  <sheetViews>
    <sheetView showGridLines="0" tabSelected="1" workbookViewId="0">
      <selection activeCell="B13" sqref="B13"/>
    </sheetView>
  </sheetViews>
  <sheetFormatPr defaultRowHeight="14.4" x14ac:dyDescent="0.3"/>
  <cols>
    <col min="1" max="1" width="23.77734375" bestFit="1" customWidth="1"/>
    <col min="2" max="2" width="13.44140625" bestFit="1" customWidth="1"/>
    <col min="3" max="3" width="11.21875" bestFit="1" customWidth="1"/>
    <col min="4" max="4" width="9.44140625" bestFit="1" customWidth="1"/>
    <col min="5" max="5" width="12.109375" bestFit="1" customWidth="1"/>
    <col min="6" max="6" width="11.6640625" bestFit="1" customWidth="1"/>
    <col min="7" max="7" width="27.77734375" bestFit="1" customWidth="1"/>
  </cols>
  <sheetData>
    <row r="1" spans="1:7" ht="40.049999999999997" customHeight="1" x14ac:dyDescent="0.3">
      <c r="A1" s="60" t="s">
        <v>190</v>
      </c>
      <c r="B1" s="47"/>
      <c r="C1" s="47"/>
      <c r="D1" s="47"/>
      <c r="E1" s="47"/>
      <c r="F1" s="47"/>
      <c r="G1" s="48"/>
    </row>
    <row r="2" spans="1:7" ht="22.05" customHeight="1" x14ac:dyDescent="0.3">
      <c r="A2" s="61" t="s">
        <v>191</v>
      </c>
      <c r="B2" s="47"/>
      <c r="C2" s="47"/>
      <c r="D2" s="47"/>
      <c r="E2" s="47"/>
      <c r="F2" s="47"/>
      <c r="G2" s="48"/>
    </row>
    <row r="3" spans="1:7" ht="30" customHeight="1" x14ac:dyDescent="0.3">
      <c r="A3" s="11" t="s">
        <v>42</v>
      </c>
      <c r="B3" s="11" t="s">
        <v>37</v>
      </c>
      <c r="C3" s="11" t="s">
        <v>192</v>
      </c>
      <c r="D3" s="11" t="s">
        <v>193</v>
      </c>
      <c r="E3" s="11" t="s">
        <v>39</v>
      </c>
      <c r="F3" s="11" t="s">
        <v>22</v>
      </c>
      <c r="G3" s="11" t="s">
        <v>194</v>
      </c>
    </row>
    <row r="4" spans="1:7" ht="28.05" customHeight="1" x14ac:dyDescent="0.3">
      <c r="A4" s="15" t="s">
        <v>195</v>
      </c>
      <c r="B4" s="15" t="s">
        <v>50</v>
      </c>
      <c r="C4" s="15" t="s">
        <v>33</v>
      </c>
      <c r="D4" s="15" t="s">
        <v>196</v>
      </c>
      <c r="E4" s="15" t="s">
        <v>53</v>
      </c>
      <c r="F4" s="15" t="s">
        <v>52</v>
      </c>
      <c r="G4" s="15" t="s">
        <v>197</v>
      </c>
    </row>
    <row r="5" spans="1:7" ht="28.05" customHeight="1" x14ac:dyDescent="0.3">
      <c r="A5" s="17" t="s">
        <v>198</v>
      </c>
      <c r="B5" s="17" t="s">
        <v>56</v>
      </c>
      <c r="C5" s="17" t="s">
        <v>57</v>
      </c>
      <c r="D5" s="17" t="s">
        <v>199</v>
      </c>
      <c r="E5" s="17" t="s">
        <v>60</v>
      </c>
      <c r="F5" s="17" t="s">
        <v>59</v>
      </c>
      <c r="G5" s="17" t="s">
        <v>200</v>
      </c>
    </row>
    <row r="6" spans="1:7" ht="28.05" customHeight="1" x14ac:dyDescent="0.3">
      <c r="A6" s="13" t="s">
        <v>201</v>
      </c>
      <c r="B6" s="13" t="s">
        <v>43</v>
      </c>
      <c r="C6" s="13" t="s">
        <v>34</v>
      </c>
      <c r="D6" s="13" t="s">
        <v>202</v>
      </c>
      <c r="E6" s="13" t="s">
        <v>203</v>
      </c>
      <c r="F6" s="13" t="s">
        <v>45</v>
      </c>
      <c r="G6" s="13" t="s">
        <v>204</v>
      </c>
    </row>
    <row r="8" spans="1:7" ht="34.950000000000003" customHeight="1" x14ac:dyDescent="0.3">
      <c r="A8" s="63" t="s">
        <v>205</v>
      </c>
      <c r="B8" s="47"/>
      <c r="C8" s="47"/>
      <c r="D8" s="47"/>
      <c r="E8" s="47"/>
      <c r="F8" s="47"/>
      <c r="G8" s="48"/>
    </row>
  </sheetData>
  <mergeCells count="3">
    <mergeCell ref="A8:G8"/>
    <mergeCell ref="A2:G2"/>
    <mergeCell ref="A1:G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2"/>
  <sheetViews>
    <sheetView showGridLines="0" topLeftCell="A5" workbookViewId="0">
      <selection sqref="A1:E1"/>
    </sheetView>
  </sheetViews>
  <sheetFormatPr defaultRowHeight="14.4" x14ac:dyDescent="0.3"/>
  <cols>
    <col min="1" max="1" width="15.109375" bestFit="1" customWidth="1"/>
    <col min="2" max="2" width="11.21875" bestFit="1" customWidth="1"/>
    <col min="3" max="3" width="11.6640625" bestFit="1" customWidth="1"/>
    <col min="4" max="4" width="17.33203125" bestFit="1" customWidth="1"/>
    <col min="5" max="5" width="10.6640625" bestFit="1" customWidth="1"/>
  </cols>
  <sheetData>
    <row r="1" spans="1:5" ht="40.049999999999997" customHeight="1" x14ac:dyDescent="0.3">
      <c r="A1" s="60" t="s">
        <v>206</v>
      </c>
      <c r="B1" s="47"/>
      <c r="C1" s="47"/>
      <c r="D1" s="47"/>
      <c r="E1" s="48"/>
    </row>
    <row r="2" spans="1:5" ht="30" customHeight="1" x14ac:dyDescent="0.3">
      <c r="A2" s="11" t="s">
        <v>207</v>
      </c>
      <c r="B2" s="11" t="s">
        <v>3</v>
      </c>
      <c r="C2" s="11" t="s">
        <v>22</v>
      </c>
      <c r="D2" s="11" t="s">
        <v>208</v>
      </c>
      <c r="E2" s="11" t="s">
        <v>7</v>
      </c>
    </row>
    <row r="3" spans="1:5" ht="22.05" customHeight="1" x14ac:dyDescent="0.3">
      <c r="A3" s="13" t="s">
        <v>209</v>
      </c>
      <c r="B3" s="13" t="s">
        <v>210</v>
      </c>
      <c r="C3" s="13" t="s">
        <v>211</v>
      </c>
      <c r="D3" s="13" t="s">
        <v>212</v>
      </c>
      <c r="E3" s="13" t="s">
        <v>11</v>
      </c>
    </row>
    <row r="4" spans="1:5" ht="22.05" customHeight="1" x14ac:dyDescent="0.3">
      <c r="A4" s="13" t="s">
        <v>213</v>
      </c>
      <c r="B4" s="13" t="s">
        <v>214</v>
      </c>
      <c r="C4" s="13" t="s">
        <v>215</v>
      </c>
      <c r="D4" s="13" t="s">
        <v>216</v>
      </c>
      <c r="E4" s="13" t="s">
        <v>149</v>
      </c>
    </row>
    <row r="5" spans="1:5" ht="22.05" customHeight="1" x14ac:dyDescent="0.3">
      <c r="A5" s="17" t="s">
        <v>217</v>
      </c>
      <c r="B5" s="17" t="s">
        <v>218</v>
      </c>
      <c r="C5" s="17" t="s">
        <v>219</v>
      </c>
      <c r="D5" s="17" t="s">
        <v>220</v>
      </c>
      <c r="E5" s="17" t="s">
        <v>10</v>
      </c>
    </row>
    <row r="6" spans="1:5" ht="22.05" customHeight="1" x14ac:dyDescent="0.3">
      <c r="A6" s="17" t="s">
        <v>221</v>
      </c>
      <c r="B6" s="17" t="s">
        <v>222</v>
      </c>
      <c r="C6" s="17" t="s">
        <v>223</v>
      </c>
      <c r="D6" s="17" t="s">
        <v>224</v>
      </c>
      <c r="E6" s="17" t="s">
        <v>10</v>
      </c>
    </row>
    <row r="7" spans="1:5" ht="22.05" customHeight="1" x14ac:dyDescent="0.3">
      <c r="A7" s="17" t="s">
        <v>225</v>
      </c>
      <c r="B7" s="17" t="s">
        <v>226</v>
      </c>
      <c r="C7" s="17" t="s">
        <v>227</v>
      </c>
      <c r="D7" s="17" t="s">
        <v>228</v>
      </c>
      <c r="E7" s="17" t="s">
        <v>10</v>
      </c>
    </row>
    <row r="8" spans="1:5" ht="22.05" customHeight="1" x14ac:dyDescent="0.3">
      <c r="A8" s="17" t="s">
        <v>229</v>
      </c>
      <c r="B8" s="17" t="s">
        <v>230</v>
      </c>
      <c r="C8" s="17" t="s">
        <v>231</v>
      </c>
      <c r="D8" s="17" t="s">
        <v>232</v>
      </c>
      <c r="E8" s="17" t="s">
        <v>10</v>
      </c>
    </row>
    <row r="9" spans="1:5" ht="22.05" customHeight="1" x14ac:dyDescent="0.3">
      <c r="A9" s="17" t="s">
        <v>233</v>
      </c>
      <c r="B9" s="17" t="s">
        <v>234</v>
      </c>
      <c r="C9" s="17" t="s">
        <v>235</v>
      </c>
      <c r="D9" s="17" t="s">
        <v>236</v>
      </c>
      <c r="E9" s="17" t="s">
        <v>10</v>
      </c>
    </row>
    <row r="10" spans="1:5" ht="22.05" customHeight="1" x14ac:dyDescent="0.3">
      <c r="A10" s="19" t="s">
        <v>237</v>
      </c>
      <c r="B10" s="19" t="s">
        <v>238</v>
      </c>
      <c r="C10" s="19" t="s">
        <v>239</v>
      </c>
      <c r="D10" s="19" t="s">
        <v>240</v>
      </c>
      <c r="E10" s="19" t="s">
        <v>8</v>
      </c>
    </row>
    <row r="11" spans="1:5" ht="22.05" customHeight="1" x14ac:dyDescent="0.3">
      <c r="A11" s="19" t="s">
        <v>241</v>
      </c>
      <c r="B11" s="19" t="s">
        <v>242</v>
      </c>
      <c r="C11" s="19" t="s">
        <v>243</v>
      </c>
      <c r="D11" s="19" t="s">
        <v>244</v>
      </c>
      <c r="E11" s="19" t="s">
        <v>8</v>
      </c>
    </row>
    <row r="12" spans="1:5" ht="22.05" customHeight="1" x14ac:dyDescent="0.3">
      <c r="A12" s="19" t="s">
        <v>245</v>
      </c>
      <c r="B12" s="19" t="s">
        <v>246</v>
      </c>
      <c r="C12" s="19" t="s">
        <v>124</v>
      </c>
      <c r="D12" s="19" t="s">
        <v>247</v>
      </c>
      <c r="E12" s="19" t="s">
        <v>8</v>
      </c>
    </row>
  </sheetData>
  <mergeCells count="1">
    <mergeCell ref="A1:E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55"/>
  <sheetViews>
    <sheetView showGridLines="0" topLeftCell="A6" zoomScale="70" zoomScaleNormal="64" workbookViewId="0">
      <selection activeCell="H7" sqref="H7"/>
    </sheetView>
  </sheetViews>
  <sheetFormatPr defaultRowHeight="14.4" x14ac:dyDescent="0.3"/>
  <cols>
    <col min="1" max="1" width="35" customWidth="1"/>
    <col min="2" max="2" width="22" customWidth="1"/>
    <col min="3" max="5" width="14" customWidth="1"/>
    <col min="6" max="6" width="16" customWidth="1"/>
    <col min="7" max="7" width="22" customWidth="1"/>
    <col min="8" max="8" width="14" customWidth="1"/>
    <col min="10" max="10" width="35" customWidth="1"/>
    <col min="11" max="11" width="15" customWidth="1"/>
  </cols>
  <sheetData>
    <row r="1" spans="1:8" ht="40.049999999999997" customHeight="1" x14ac:dyDescent="0.3">
      <c r="A1" s="68" t="s">
        <v>248</v>
      </c>
      <c r="B1" s="65"/>
      <c r="C1" s="65"/>
      <c r="D1" s="65"/>
      <c r="E1" s="65"/>
      <c r="F1" s="65"/>
      <c r="G1" s="65"/>
      <c r="H1" s="66"/>
    </row>
    <row r="2" spans="1:8" ht="22.05" customHeight="1" x14ac:dyDescent="0.3">
      <c r="A2" s="67" t="s">
        <v>249</v>
      </c>
      <c r="B2" s="65"/>
      <c r="C2" s="65"/>
      <c r="D2" s="65"/>
      <c r="E2" s="65"/>
      <c r="F2" s="65"/>
      <c r="G2" s="65"/>
      <c r="H2" s="66"/>
    </row>
    <row r="4" spans="1:8" ht="28.05" customHeight="1" x14ac:dyDescent="0.3">
      <c r="A4" s="64" t="s">
        <v>250</v>
      </c>
      <c r="B4" s="65"/>
      <c r="C4" s="65"/>
      <c r="D4" s="65"/>
      <c r="E4" s="65"/>
      <c r="F4" s="65"/>
      <c r="G4" s="65"/>
      <c r="H4" s="66"/>
    </row>
    <row r="5" spans="1:8" ht="28.05" customHeight="1" x14ac:dyDescent="0.3">
      <c r="A5" s="37" t="s">
        <v>251</v>
      </c>
      <c r="B5" s="37" t="s">
        <v>3</v>
      </c>
      <c r="C5" s="37" t="s">
        <v>38</v>
      </c>
      <c r="D5" s="37" t="s">
        <v>22</v>
      </c>
      <c r="E5" s="37" t="s">
        <v>39</v>
      </c>
      <c r="F5" s="37" t="s">
        <v>7</v>
      </c>
      <c r="G5" s="37" t="s">
        <v>194</v>
      </c>
      <c r="H5" s="37" t="s">
        <v>42</v>
      </c>
    </row>
    <row r="6" spans="1:8" ht="22.05" customHeight="1" x14ac:dyDescent="0.3">
      <c r="A6" s="38" t="s">
        <v>252</v>
      </c>
      <c r="B6" s="39" t="s">
        <v>253</v>
      </c>
      <c r="C6" s="39" t="s">
        <v>254</v>
      </c>
      <c r="D6" s="39" t="s">
        <v>255</v>
      </c>
      <c r="E6" s="39" t="s">
        <v>256</v>
      </c>
      <c r="F6" s="38" t="s">
        <v>8</v>
      </c>
      <c r="G6" s="39" t="s">
        <v>257</v>
      </c>
      <c r="H6" s="39" t="s">
        <v>258</v>
      </c>
    </row>
    <row r="7" spans="1:8" ht="22.05" customHeight="1" x14ac:dyDescent="0.3">
      <c r="A7" s="40" t="s">
        <v>259</v>
      </c>
      <c r="B7" s="41" t="s">
        <v>214</v>
      </c>
      <c r="C7" s="41" t="s">
        <v>260</v>
      </c>
      <c r="D7" s="41" t="s">
        <v>261</v>
      </c>
      <c r="E7" s="41" t="s">
        <v>262</v>
      </c>
      <c r="F7" s="40" t="s">
        <v>10</v>
      </c>
      <c r="G7" s="41" t="s">
        <v>263</v>
      </c>
      <c r="H7" s="41" t="s">
        <v>264</v>
      </c>
    </row>
    <row r="8" spans="1:8" ht="22.05" customHeight="1" x14ac:dyDescent="0.3">
      <c r="A8" s="42" t="s">
        <v>265</v>
      </c>
      <c r="B8" s="43" t="s">
        <v>266</v>
      </c>
      <c r="C8" s="43" t="s">
        <v>267</v>
      </c>
      <c r="D8" s="43" t="s">
        <v>268</v>
      </c>
      <c r="E8" s="43" t="s">
        <v>269</v>
      </c>
      <c r="F8" s="42" t="s">
        <v>9</v>
      </c>
      <c r="G8" s="43" t="s">
        <v>270</v>
      </c>
      <c r="H8" s="43" t="s">
        <v>271</v>
      </c>
    </row>
    <row r="11" spans="1:8" ht="28.05" customHeight="1" x14ac:dyDescent="0.3">
      <c r="A11" s="64" t="s">
        <v>272</v>
      </c>
      <c r="B11" s="65"/>
      <c r="C11" s="65"/>
      <c r="D11" s="65"/>
      <c r="E11" s="65"/>
      <c r="F11" s="65"/>
      <c r="G11" s="65"/>
      <c r="H11" s="66"/>
    </row>
    <row r="12" spans="1:8" ht="30" customHeight="1" x14ac:dyDescent="0.3">
      <c r="A12" s="37" t="s">
        <v>273</v>
      </c>
      <c r="B12" s="37" t="s">
        <v>274</v>
      </c>
      <c r="C12" s="37" t="s">
        <v>3</v>
      </c>
      <c r="D12" s="37" t="s">
        <v>38</v>
      </c>
      <c r="E12" s="37" t="s">
        <v>22</v>
      </c>
      <c r="F12" s="37" t="s">
        <v>39</v>
      </c>
      <c r="G12" s="37" t="s">
        <v>275</v>
      </c>
      <c r="H12" s="37" t="s">
        <v>7</v>
      </c>
    </row>
    <row r="13" spans="1:8" ht="22.05" customHeight="1" x14ac:dyDescent="0.3">
      <c r="A13" s="40" t="s">
        <v>276</v>
      </c>
      <c r="B13" s="41" t="s">
        <v>277</v>
      </c>
      <c r="C13" s="41" t="s">
        <v>278</v>
      </c>
      <c r="D13" s="41" t="s">
        <v>279</v>
      </c>
      <c r="E13" s="41" t="s">
        <v>280</v>
      </c>
      <c r="F13" s="41" t="s">
        <v>281</v>
      </c>
      <c r="G13" s="41" t="s">
        <v>282</v>
      </c>
      <c r="H13" s="40" t="s">
        <v>10</v>
      </c>
    </row>
    <row r="14" spans="1:8" ht="22.05" customHeight="1" x14ac:dyDescent="0.3">
      <c r="A14" s="40" t="s">
        <v>283</v>
      </c>
      <c r="B14" s="41" t="s">
        <v>277</v>
      </c>
      <c r="C14" s="41" t="s">
        <v>284</v>
      </c>
      <c r="D14" s="41" t="s">
        <v>285</v>
      </c>
      <c r="E14" s="41" t="s">
        <v>286</v>
      </c>
      <c r="F14" s="41" t="s">
        <v>287</v>
      </c>
      <c r="G14" s="41" t="s">
        <v>288</v>
      </c>
      <c r="H14" s="40" t="s">
        <v>10</v>
      </c>
    </row>
    <row r="15" spans="1:8" ht="22.05" customHeight="1" x14ac:dyDescent="0.3">
      <c r="A15" s="38" t="s">
        <v>289</v>
      </c>
      <c r="B15" s="39" t="s">
        <v>290</v>
      </c>
      <c r="C15" s="39" t="s">
        <v>291</v>
      </c>
      <c r="D15" s="39" t="s">
        <v>292</v>
      </c>
      <c r="E15" s="39" t="s">
        <v>293</v>
      </c>
      <c r="F15" s="39" t="s">
        <v>294</v>
      </c>
      <c r="G15" s="39" t="s">
        <v>295</v>
      </c>
      <c r="H15" s="38" t="s">
        <v>8</v>
      </c>
    </row>
    <row r="16" spans="1:8" ht="22.05" customHeight="1" x14ac:dyDescent="0.3">
      <c r="A16" s="38" t="s">
        <v>296</v>
      </c>
      <c r="B16" s="39" t="s">
        <v>297</v>
      </c>
      <c r="C16" s="39" t="s">
        <v>298</v>
      </c>
      <c r="D16" s="39" t="s">
        <v>299</v>
      </c>
      <c r="E16" s="39" t="s">
        <v>300</v>
      </c>
      <c r="F16" s="39" t="s">
        <v>301</v>
      </c>
      <c r="G16" s="39" t="s">
        <v>302</v>
      </c>
      <c r="H16" s="38" t="s">
        <v>8</v>
      </c>
    </row>
    <row r="17" spans="1:8" ht="22.05" customHeight="1" x14ac:dyDescent="0.3">
      <c r="A17" s="38" t="s">
        <v>303</v>
      </c>
      <c r="B17" s="39" t="s">
        <v>297</v>
      </c>
      <c r="C17" s="39" t="s">
        <v>304</v>
      </c>
      <c r="D17" s="39" t="s">
        <v>305</v>
      </c>
      <c r="E17" s="39" t="s">
        <v>306</v>
      </c>
      <c r="F17" s="39" t="s">
        <v>307</v>
      </c>
      <c r="G17" s="39" t="s">
        <v>308</v>
      </c>
      <c r="H17" s="38" t="s">
        <v>8</v>
      </c>
    </row>
    <row r="18" spans="1:8" ht="22.05" customHeight="1" x14ac:dyDescent="0.3">
      <c r="A18" s="40" t="s">
        <v>309</v>
      </c>
      <c r="B18" s="41" t="s">
        <v>310</v>
      </c>
      <c r="C18" s="41" t="s">
        <v>311</v>
      </c>
      <c r="D18" s="41" t="s">
        <v>312</v>
      </c>
      <c r="E18" s="41" t="s">
        <v>286</v>
      </c>
      <c r="F18" s="41" t="s">
        <v>313</v>
      </c>
      <c r="G18" s="41" t="s">
        <v>314</v>
      </c>
      <c r="H18" s="40" t="s">
        <v>10</v>
      </c>
    </row>
    <row r="19" spans="1:8" ht="22.05" customHeight="1" x14ac:dyDescent="0.3">
      <c r="A19" s="42" t="s">
        <v>315</v>
      </c>
      <c r="B19" s="43" t="s">
        <v>297</v>
      </c>
      <c r="C19" s="43" t="s">
        <v>316</v>
      </c>
      <c r="D19" s="43" t="s">
        <v>317</v>
      </c>
      <c r="E19" s="43" t="s">
        <v>318</v>
      </c>
      <c r="F19" s="43" t="s">
        <v>319</v>
      </c>
      <c r="G19" s="43" t="s">
        <v>320</v>
      </c>
      <c r="H19" s="42" t="s">
        <v>9</v>
      </c>
    </row>
    <row r="20" spans="1:8" ht="22.05" customHeight="1" x14ac:dyDescent="0.3">
      <c r="A20" s="42" t="s">
        <v>321</v>
      </c>
      <c r="B20" s="43" t="s">
        <v>322</v>
      </c>
      <c r="C20" s="43" t="s">
        <v>323</v>
      </c>
      <c r="D20" s="43" t="s">
        <v>324</v>
      </c>
      <c r="E20" s="43" t="s">
        <v>325</v>
      </c>
      <c r="F20" s="43" t="s">
        <v>326</v>
      </c>
      <c r="G20" s="43" t="s">
        <v>327</v>
      </c>
      <c r="H20" s="42" t="s">
        <v>9</v>
      </c>
    </row>
    <row r="21" spans="1:8" ht="22.05" customHeight="1" x14ac:dyDescent="0.3">
      <c r="A21" s="40" t="s">
        <v>328</v>
      </c>
      <c r="B21" s="41" t="s">
        <v>290</v>
      </c>
      <c r="C21" s="41" t="s">
        <v>329</v>
      </c>
      <c r="D21" s="41" t="s">
        <v>330</v>
      </c>
      <c r="E21" s="41" t="s">
        <v>286</v>
      </c>
      <c r="F21" s="41" t="s">
        <v>331</v>
      </c>
      <c r="G21" s="41" t="s">
        <v>332</v>
      </c>
      <c r="H21" s="40" t="s">
        <v>10</v>
      </c>
    </row>
    <row r="22" spans="1:8" ht="22.05" customHeight="1" x14ac:dyDescent="0.3">
      <c r="A22" s="38" t="s">
        <v>333</v>
      </c>
      <c r="B22" s="39" t="s">
        <v>334</v>
      </c>
      <c r="C22" s="39" t="s">
        <v>335</v>
      </c>
      <c r="D22" s="39" t="s">
        <v>336</v>
      </c>
      <c r="E22" s="39" t="s">
        <v>337</v>
      </c>
      <c r="F22" s="39" t="s">
        <v>338</v>
      </c>
      <c r="G22" s="39" t="s">
        <v>339</v>
      </c>
      <c r="H22" s="38" t="s">
        <v>8</v>
      </c>
    </row>
    <row r="23" spans="1:8" ht="22.05" customHeight="1" x14ac:dyDescent="0.3">
      <c r="A23" s="42" t="s">
        <v>340</v>
      </c>
      <c r="B23" s="43" t="s">
        <v>341</v>
      </c>
      <c r="C23" s="43" t="s">
        <v>342</v>
      </c>
      <c r="D23" s="43" t="s">
        <v>343</v>
      </c>
      <c r="E23" s="43" t="s">
        <v>344</v>
      </c>
      <c r="F23" s="43" t="s">
        <v>345</v>
      </c>
      <c r="G23" s="43" t="s">
        <v>346</v>
      </c>
      <c r="H23" s="42" t="s">
        <v>9</v>
      </c>
    </row>
    <row r="24" spans="1:8" ht="22.05" customHeight="1" x14ac:dyDescent="0.3">
      <c r="A24" s="40" t="s">
        <v>347</v>
      </c>
      <c r="B24" s="41" t="s">
        <v>348</v>
      </c>
      <c r="C24" s="41" t="s">
        <v>349</v>
      </c>
      <c r="D24" s="41" t="s">
        <v>350</v>
      </c>
      <c r="E24" s="41" t="s">
        <v>351</v>
      </c>
      <c r="F24" s="41" t="s">
        <v>287</v>
      </c>
      <c r="G24" s="41" t="s">
        <v>295</v>
      </c>
      <c r="H24" s="40" t="s">
        <v>10</v>
      </c>
    </row>
    <row r="25" spans="1:8" ht="22.05" customHeight="1" x14ac:dyDescent="0.3">
      <c r="A25" s="38" t="s">
        <v>352</v>
      </c>
      <c r="B25" s="39" t="s">
        <v>353</v>
      </c>
      <c r="C25" s="39" t="s">
        <v>354</v>
      </c>
      <c r="D25" s="39" t="s">
        <v>355</v>
      </c>
      <c r="E25" s="39" t="s">
        <v>337</v>
      </c>
      <c r="F25" s="39" t="s">
        <v>294</v>
      </c>
      <c r="G25" s="39" t="s">
        <v>320</v>
      </c>
      <c r="H25" s="38" t="s">
        <v>8</v>
      </c>
    </row>
    <row r="26" spans="1:8" ht="22.05" customHeight="1" x14ac:dyDescent="0.3">
      <c r="A26" s="38" t="s">
        <v>356</v>
      </c>
      <c r="B26" s="39" t="s">
        <v>357</v>
      </c>
      <c r="C26" s="39" t="s">
        <v>358</v>
      </c>
      <c r="D26" s="39" t="s">
        <v>359</v>
      </c>
      <c r="E26" s="39" t="s">
        <v>360</v>
      </c>
      <c r="F26" s="39" t="s">
        <v>361</v>
      </c>
      <c r="G26" s="39" t="s">
        <v>308</v>
      </c>
      <c r="H26" s="38" t="s">
        <v>8</v>
      </c>
    </row>
    <row r="27" spans="1:8" ht="22.05" customHeight="1" x14ac:dyDescent="0.3">
      <c r="A27" s="38" t="s">
        <v>362</v>
      </c>
      <c r="B27" s="39" t="s">
        <v>363</v>
      </c>
      <c r="C27" s="39" t="s">
        <v>364</v>
      </c>
      <c r="D27" s="39" t="s">
        <v>365</v>
      </c>
      <c r="E27" s="39" t="s">
        <v>360</v>
      </c>
      <c r="F27" s="39" t="s">
        <v>366</v>
      </c>
      <c r="G27" s="39" t="s">
        <v>367</v>
      </c>
      <c r="H27" s="38" t="s">
        <v>8</v>
      </c>
    </row>
    <row r="30" spans="1:8" ht="28.05" customHeight="1" x14ac:dyDescent="0.3">
      <c r="A30" s="64" t="s">
        <v>368</v>
      </c>
      <c r="B30" s="65"/>
      <c r="C30" s="65"/>
      <c r="D30" s="65"/>
      <c r="E30" s="65"/>
      <c r="F30" s="65"/>
      <c r="G30" s="65"/>
      <c r="H30" s="66"/>
    </row>
    <row r="31" spans="1:8" ht="28.05" customHeight="1" x14ac:dyDescent="0.3">
      <c r="A31" s="37" t="s">
        <v>274</v>
      </c>
      <c r="B31" s="37" t="s">
        <v>3</v>
      </c>
      <c r="C31" s="37" t="s">
        <v>22</v>
      </c>
      <c r="D31" s="37" t="s">
        <v>39</v>
      </c>
      <c r="E31" s="37" t="s">
        <v>7</v>
      </c>
      <c r="F31" s="37" t="s">
        <v>194</v>
      </c>
    </row>
    <row r="32" spans="1:8" ht="22.05" customHeight="1" x14ac:dyDescent="0.3">
      <c r="A32" s="40" t="s">
        <v>277</v>
      </c>
      <c r="B32" s="41" t="s">
        <v>369</v>
      </c>
      <c r="C32" s="41" t="s">
        <v>280</v>
      </c>
      <c r="D32" s="41" t="s">
        <v>370</v>
      </c>
      <c r="E32" s="40" t="s">
        <v>10</v>
      </c>
      <c r="F32" s="41" t="s">
        <v>371</v>
      </c>
    </row>
    <row r="33" spans="1:11" ht="22.05" customHeight="1" x14ac:dyDescent="0.3">
      <c r="A33" s="38" t="s">
        <v>297</v>
      </c>
      <c r="B33" s="39" t="s">
        <v>372</v>
      </c>
      <c r="C33" s="39" t="s">
        <v>360</v>
      </c>
      <c r="D33" s="39" t="s">
        <v>373</v>
      </c>
      <c r="E33" s="38" t="s">
        <v>8</v>
      </c>
      <c r="F33" s="39" t="s">
        <v>257</v>
      </c>
    </row>
    <row r="34" spans="1:11" ht="22.05" customHeight="1" x14ac:dyDescent="0.3">
      <c r="A34" s="38" t="s">
        <v>290</v>
      </c>
      <c r="B34" s="39" t="s">
        <v>374</v>
      </c>
      <c r="C34" s="39" t="s">
        <v>375</v>
      </c>
      <c r="D34" s="39" t="s">
        <v>376</v>
      </c>
      <c r="E34" s="38" t="s">
        <v>8</v>
      </c>
      <c r="F34" s="39" t="s">
        <v>377</v>
      </c>
    </row>
    <row r="35" spans="1:11" ht="22.05" customHeight="1" x14ac:dyDescent="0.3">
      <c r="A35" s="38" t="s">
        <v>334</v>
      </c>
      <c r="B35" s="39" t="s">
        <v>335</v>
      </c>
      <c r="C35" s="39" t="s">
        <v>337</v>
      </c>
      <c r="D35" s="39" t="s">
        <v>338</v>
      </c>
      <c r="E35" s="38" t="s">
        <v>8</v>
      </c>
      <c r="F35" s="39" t="s">
        <v>378</v>
      </c>
    </row>
    <row r="36" spans="1:11" ht="22.05" customHeight="1" x14ac:dyDescent="0.3">
      <c r="A36" s="42" t="s">
        <v>341</v>
      </c>
      <c r="B36" s="43" t="s">
        <v>342</v>
      </c>
      <c r="C36" s="43" t="s">
        <v>344</v>
      </c>
      <c r="D36" s="43" t="s">
        <v>345</v>
      </c>
      <c r="E36" s="42" t="s">
        <v>9</v>
      </c>
      <c r="F36" s="43" t="s">
        <v>379</v>
      </c>
    </row>
    <row r="37" spans="1:11" ht="22.05" customHeight="1" x14ac:dyDescent="0.3">
      <c r="A37" s="42" t="s">
        <v>322</v>
      </c>
      <c r="B37" s="43" t="s">
        <v>323</v>
      </c>
      <c r="C37" s="43" t="s">
        <v>325</v>
      </c>
      <c r="D37" s="43" t="s">
        <v>326</v>
      </c>
      <c r="E37" s="42" t="s">
        <v>9</v>
      </c>
      <c r="F37" s="43" t="s">
        <v>379</v>
      </c>
    </row>
    <row r="38" spans="1:11" ht="22.05" customHeight="1" x14ac:dyDescent="0.3">
      <c r="A38" s="40" t="s">
        <v>348</v>
      </c>
      <c r="B38" s="41" t="s">
        <v>349</v>
      </c>
      <c r="C38" s="41" t="s">
        <v>351</v>
      </c>
      <c r="D38" s="41" t="s">
        <v>287</v>
      </c>
      <c r="E38" s="40" t="s">
        <v>10</v>
      </c>
      <c r="F38" s="41" t="s">
        <v>263</v>
      </c>
    </row>
    <row r="39" spans="1:11" ht="22.05" customHeight="1" x14ac:dyDescent="0.3">
      <c r="A39" s="38" t="s">
        <v>363</v>
      </c>
      <c r="B39" s="39" t="s">
        <v>364</v>
      </c>
      <c r="C39" s="39" t="s">
        <v>360</v>
      </c>
      <c r="D39" s="39" t="s">
        <v>366</v>
      </c>
      <c r="E39" s="38" t="s">
        <v>8</v>
      </c>
      <c r="F39" s="39" t="s">
        <v>257</v>
      </c>
    </row>
    <row r="40" spans="1:11" ht="22.05" customHeight="1" x14ac:dyDescent="0.3">
      <c r="A40" s="42" t="s">
        <v>380</v>
      </c>
      <c r="B40" s="43" t="s">
        <v>381</v>
      </c>
      <c r="C40" s="43" t="s">
        <v>268</v>
      </c>
      <c r="D40" s="43" t="s">
        <v>382</v>
      </c>
      <c r="E40" s="42" t="s">
        <v>9</v>
      </c>
      <c r="F40" s="43" t="s">
        <v>379</v>
      </c>
    </row>
    <row r="41" spans="1:11" ht="22.05" customHeight="1" x14ac:dyDescent="0.3">
      <c r="A41" s="38" t="s">
        <v>383</v>
      </c>
      <c r="B41" s="39" t="s">
        <v>384</v>
      </c>
      <c r="C41" s="39" t="s">
        <v>293</v>
      </c>
      <c r="D41" s="39" t="s">
        <v>301</v>
      </c>
      <c r="E41" s="38" t="s">
        <v>8</v>
      </c>
      <c r="F41" s="39" t="s">
        <v>385</v>
      </c>
    </row>
    <row r="45" spans="1:11" x14ac:dyDescent="0.3">
      <c r="J45" s="45" t="s">
        <v>386</v>
      </c>
      <c r="K45" s="45" t="s">
        <v>3</v>
      </c>
    </row>
    <row r="46" spans="1:11" x14ac:dyDescent="0.3">
      <c r="J46" s="44" t="s">
        <v>276</v>
      </c>
      <c r="K46" s="44">
        <v>13017</v>
      </c>
    </row>
    <row r="47" spans="1:11" x14ac:dyDescent="0.3">
      <c r="J47" s="44" t="s">
        <v>283</v>
      </c>
      <c r="K47" s="44">
        <v>9168</v>
      </c>
    </row>
    <row r="48" spans="1:11" x14ac:dyDescent="0.3">
      <c r="J48" s="44" t="s">
        <v>289</v>
      </c>
      <c r="K48" s="44">
        <v>6250</v>
      </c>
    </row>
    <row r="49" spans="10:11" x14ac:dyDescent="0.3">
      <c r="J49" s="44" t="s">
        <v>387</v>
      </c>
      <c r="K49" s="44">
        <v>6128</v>
      </c>
    </row>
    <row r="50" spans="10:11" x14ac:dyDescent="0.3">
      <c r="J50" s="44" t="s">
        <v>303</v>
      </c>
      <c r="K50" s="44">
        <v>6090</v>
      </c>
    </row>
    <row r="51" spans="10:11" x14ac:dyDescent="0.3">
      <c r="J51" s="44" t="s">
        <v>388</v>
      </c>
      <c r="K51" s="44">
        <v>5358</v>
      </c>
    </row>
    <row r="52" spans="10:11" x14ac:dyDescent="0.3">
      <c r="J52" s="44" t="s">
        <v>389</v>
      </c>
      <c r="K52" s="44">
        <v>4876</v>
      </c>
    </row>
    <row r="53" spans="10:11" x14ac:dyDescent="0.3">
      <c r="J53" s="44" t="s">
        <v>321</v>
      </c>
      <c r="K53" s="44">
        <v>3262</v>
      </c>
    </row>
    <row r="54" spans="10:11" x14ac:dyDescent="0.3">
      <c r="J54" s="44" t="s">
        <v>390</v>
      </c>
      <c r="K54" s="44">
        <v>3116</v>
      </c>
    </row>
    <row r="55" spans="10:11" x14ac:dyDescent="0.3">
      <c r="J55" s="44" t="s">
        <v>333</v>
      </c>
      <c r="K55" s="44">
        <v>3113</v>
      </c>
    </row>
  </sheetData>
  <mergeCells count="5">
    <mergeCell ref="A4:H4"/>
    <mergeCell ref="A30:H30"/>
    <mergeCell ref="A2:H2"/>
    <mergeCell ref="A11:H11"/>
    <mergeCell ref="A1:H1"/>
  </mergeCells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8"/>
  <sheetViews>
    <sheetView showGridLines="0" topLeftCell="A4" workbookViewId="0">
      <selection activeCell="E21" sqref="E21"/>
    </sheetView>
  </sheetViews>
  <sheetFormatPr defaultRowHeight="14.4" x14ac:dyDescent="0.3"/>
  <cols>
    <col min="1" max="1" width="8" customWidth="1"/>
    <col min="2" max="2" width="14" customWidth="1"/>
    <col min="3" max="4" width="16" customWidth="1"/>
    <col min="5" max="6" width="12" customWidth="1"/>
  </cols>
  <sheetData>
    <row r="1" spans="1:6" ht="40.049999999999997" customHeight="1" x14ac:dyDescent="0.3">
      <c r="A1" s="51" t="s">
        <v>0</v>
      </c>
      <c r="B1" s="47"/>
      <c r="C1" s="47"/>
      <c r="D1" s="47"/>
      <c r="E1" s="47"/>
      <c r="F1" s="48"/>
    </row>
    <row r="2" spans="1:6" ht="22.05" customHeight="1" x14ac:dyDescent="0.3">
      <c r="A2" s="46" t="s">
        <v>1</v>
      </c>
      <c r="B2" s="47"/>
      <c r="C2" s="47"/>
      <c r="D2" s="47"/>
      <c r="E2" s="47"/>
      <c r="F2" s="48"/>
    </row>
    <row r="3" spans="1:6" ht="28.05" customHeight="1" x14ac:dyDescent="0.3">
      <c r="A3" s="20" t="s">
        <v>2</v>
      </c>
      <c r="B3" s="20" t="s">
        <v>3</v>
      </c>
      <c r="C3" s="20" t="s">
        <v>4</v>
      </c>
      <c r="D3" s="20" t="s">
        <v>5</v>
      </c>
      <c r="E3" s="20" t="s">
        <v>6</v>
      </c>
      <c r="F3" s="20" t="s">
        <v>7</v>
      </c>
    </row>
    <row r="4" spans="1:6" ht="22.05" customHeight="1" x14ac:dyDescent="0.3">
      <c r="A4" s="21">
        <v>2020</v>
      </c>
      <c r="B4" s="22">
        <v>36463</v>
      </c>
      <c r="C4" s="22">
        <v>2451</v>
      </c>
      <c r="D4" s="23">
        <v>6.72</v>
      </c>
      <c r="E4" s="23">
        <v>0.36</v>
      </c>
      <c r="F4" s="24" t="s">
        <v>8</v>
      </c>
    </row>
    <row r="5" spans="1:6" ht="22.05" customHeight="1" x14ac:dyDescent="0.3">
      <c r="A5" s="25">
        <v>2021</v>
      </c>
      <c r="B5" s="26">
        <v>45147</v>
      </c>
      <c r="C5" s="26">
        <v>2706</v>
      </c>
      <c r="D5" s="27">
        <v>5.99</v>
      </c>
      <c r="E5" s="27">
        <v>0.08</v>
      </c>
      <c r="F5" s="28" t="s">
        <v>9</v>
      </c>
    </row>
    <row r="6" spans="1:6" ht="22.05" customHeight="1" x14ac:dyDescent="0.3">
      <c r="A6" s="29">
        <v>2022</v>
      </c>
      <c r="B6" s="30">
        <v>41737</v>
      </c>
      <c r="C6" s="30">
        <v>3749</v>
      </c>
      <c r="D6" s="31">
        <v>8.98</v>
      </c>
      <c r="E6" s="31">
        <v>0.33</v>
      </c>
      <c r="F6" s="32" t="s">
        <v>10</v>
      </c>
    </row>
    <row r="7" spans="1:6" ht="22.05" customHeight="1" x14ac:dyDescent="0.3">
      <c r="A7" s="33">
        <v>2023</v>
      </c>
      <c r="B7" s="34">
        <v>50137</v>
      </c>
      <c r="C7" s="34">
        <v>4886</v>
      </c>
      <c r="D7" s="35">
        <v>9.75</v>
      </c>
      <c r="E7" s="35">
        <v>2.16</v>
      </c>
      <c r="F7" s="36" t="s">
        <v>11</v>
      </c>
    </row>
    <row r="8" spans="1:6" ht="22.05" customHeight="1" x14ac:dyDescent="0.3">
      <c r="A8" s="21">
        <v>2024</v>
      </c>
      <c r="B8" s="22">
        <v>59893</v>
      </c>
      <c r="C8" s="22">
        <v>3054</v>
      </c>
      <c r="D8" s="23">
        <v>5.0999999999999996</v>
      </c>
      <c r="E8" s="23">
        <v>5.33</v>
      </c>
      <c r="F8" s="24" t="s">
        <v>8</v>
      </c>
    </row>
    <row r="9" spans="1:6" ht="22.05" customHeight="1" x14ac:dyDescent="0.3">
      <c r="A9" s="25">
        <v>2025</v>
      </c>
      <c r="B9" s="26">
        <v>59663</v>
      </c>
      <c r="C9" s="26">
        <v>969</v>
      </c>
      <c r="D9" s="27">
        <v>1.62</v>
      </c>
      <c r="E9" s="27">
        <v>5.33</v>
      </c>
      <c r="F9" s="28" t="s">
        <v>9</v>
      </c>
    </row>
    <row r="10" spans="1:6" ht="22.05" customHeight="1" x14ac:dyDescent="0.3">
      <c r="A10" s="25">
        <v>2026</v>
      </c>
      <c r="B10" s="26">
        <v>11550</v>
      </c>
      <c r="C10" s="26">
        <v>8</v>
      </c>
      <c r="D10" s="27">
        <v>7.0000000000000007E-2</v>
      </c>
      <c r="E10" s="27">
        <v>5.33</v>
      </c>
      <c r="F10" s="28" t="s">
        <v>9</v>
      </c>
    </row>
    <row r="12" spans="1:6" ht="28.05" customHeight="1" x14ac:dyDescent="0.3">
      <c r="A12" s="53" t="s">
        <v>12</v>
      </c>
      <c r="B12" s="47"/>
      <c r="C12" s="47"/>
      <c r="D12" s="47"/>
      <c r="E12" s="47"/>
      <c r="F12" s="48"/>
    </row>
    <row r="13" spans="1:6" ht="19.95" customHeight="1" x14ac:dyDescent="0.3">
      <c r="A13" s="50" t="s">
        <v>13</v>
      </c>
      <c r="B13" s="47"/>
      <c r="C13" s="47"/>
      <c r="D13" s="47"/>
      <c r="E13" s="47"/>
      <c r="F13" s="48"/>
    </row>
    <row r="14" spans="1:6" ht="19.95" customHeight="1" x14ac:dyDescent="0.3">
      <c r="A14" s="49" t="s">
        <v>14</v>
      </c>
      <c r="B14" s="47"/>
      <c r="C14" s="47"/>
      <c r="D14" s="47"/>
      <c r="E14" s="47"/>
      <c r="F14" s="48"/>
    </row>
    <row r="15" spans="1:6" ht="19.95" customHeight="1" x14ac:dyDescent="0.3">
      <c r="A15" s="50" t="s">
        <v>15</v>
      </c>
      <c r="B15" s="47"/>
      <c r="C15" s="47"/>
      <c r="D15" s="47"/>
      <c r="E15" s="47"/>
      <c r="F15" s="48"/>
    </row>
    <row r="16" spans="1:6" ht="19.95" customHeight="1" x14ac:dyDescent="0.3">
      <c r="A16" s="49" t="s">
        <v>16</v>
      </c>
      <c r="B16" s="47"/>
      <c r="C16" s="47"/>
      <c r="D16" s="47"/>
      <c r="E16" s="47"/>
      <c r="F16" s="48"/>
    </row>
    <row r="17" spans="1:6" ht="19.95" customHeight="1" x14ac:dyDescent="0.3">
      <c r="A17" s="52" t="s">
        <v>17</v>
      </c>
      <c r="B17" s="47"/>
      <c r="C17" s="47"/>
      <c r="D17" s="47"/>
      <c r="E17" s="47"/>
      <c r="F17" s="48"/>
    </row>
    <row r="18" spans="1:6" ht="19.95" customHeight="1" x14ac:dyDescent="0.3">
      <c r="A18" s="49" t="s">
        <v>18</v>
      </c>
      <c r="B18" s="47"/>
      <c r="C18" s="47"/>
      <c r="D18" s="47"/>
      <c r="E18" s="47"/>
      <c r="F18" s="48"/>
    </row>
  </sheetData>
  <mergeCells count="9">
    <mergeCell ref="A17:F17"/>
    <mergeCell ref="A12:F12"/>
    <mergeCell ref="A18:F18"/>
    <mergeCell ref="A15:F15"/>
    <mergeCell ref="A2:F2"/>
    <mergeCell ref="A16:F16"/>
    <mergeCell ref="A13:F13"/>
    <mergeCell ref="A14:F14"/>
    <mergeCell ref="A1:F1"/>
  </mergeCells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50"/>
  <sheetViews>
    <sheetView showGridLines="0" workbookViewId="0">
      <selection sqref="A1:B1"/>
    </sheetView>
  </sheetViews>
  <sheetFormatPr defaultRowHeight="14.4" x14ac:dyDescent="0.3"/>
  <cols>
    <col min="1" max="1" width="80" customWidth="1"/>
    <col min="2" max="2" width="20" customWidth="1"/>
  </cols>
  <sheetData>
    <row r="1" spans="1:2" ht="28.05" customHeight="1" x14ac:dyDescent="0.3">
      <c r="A1" s="72" t="s">
        <v>391</v>
      </c>
      <c r="B1" s="48"/>
    </row>
    <row r="2" spans="1:2" ht="28.05" customHeight="1" x14ac:dyDescent="0.3">
      <c r="A2" s="75" t="s">
        <v>392</v>
      </c>
      <c r="B2" s="48"/>
    </row>
    <row r="3" spans="1:2" ht="28.05" customHeight="1" x14ac:dyDescent="0.3">
      <c r="A3" s="73" t="s">
        <v>393</v>
      </c>
      <c r="B3" s="48"/>
    </row>
    <row r="4" spans="1:2" ht="28.05" customHeight="1" x14ac:dyDescent="0.3">
      <c r="A4" s="73" t="s">
        <v>394</v>
      </c>
      <c r="B4" s="48"/>
    </row>
    <row r="5" spans="1:2" ht="28.05" customHeight="1" x14ac:dyDescent="0.3">
      <c r="A5" s="73" t="s">
        <v>395</v>
      </c>
      <c r="B5" s="48"/>
    </row>
    <row r="6" spans="1:2" ht="28.05" customHeight="1" x14ac:dyDescent="0.3">
      <c r="A6" s="73" t="s">
        <v>396</v>
      </c>
      <c r="B6" s="48"/>
    </row>
    <row r="7" spans="1:2" ht="28.05" customHeight="1" x14ac:dyDescent="0.3">
      <c r="A7" s="74" t="s">
        <v>397</v>
      </c>
      <c r="B7" s="48"/>
    </row>
    <row r="8" spans="1:2" ht="18" customHeight="1" x14ac:dyDescent="0.3">
      <c r="A8" s="69" t="s">
        <v>398</v>
      </c>
      <c r="B8" s="70"/>
    </row>
    <row r="9" spans="1:2" ht="18" customHeight="1" x14ac:dyDescent="0.3">
      <c r="A9" s="71"/>
      <c r="B9" s="70"/>
    </row>
    <row r="10" spans="1:2" ht="18" customHeight="1" x14ac:dyDescent="0.3">
      <c r="A10" s="69" t="s">
        <v>399</v>
      </c>
      <c r="B10" s="70"/>
    </row>
    <row r="11" spans="1:2" ht="18" customHeight="1" x14ac:dyDescent="0.3">
      <c r="A11" s="71" t="s">
        <v>400</v>
      </c>
      <c r="B11" s="70"/>
    </row>
    <row r="12" spans="1:2" ht="18" customHeight="1" x14ac:dyDescent="0.3">
      <c r="A12" s="69" t="s">
        <v>401</v>
      </c>
      <c r="B12" s="70"/>
    </row>
    <row r="13" spans="1:2" ht="18" customHeight="1" x14ac:dyDescent="0.3">
      <c r="A13" s="71" t="s">
        <v>402</v>
      </c>
      <c r="B13" s="70"/>
    </row>
    <row r="14" spans="1:2" ht="18" customHeight="1" x14ac:dyDescent="0.3">
      <c r="A14" s="69"/>
      <c r="B14" s="70"/>
    </row>
    <row r="15" spans="1:2" ht="18" customHeight="1" x14ac:dyDescent="0.3">
      <c r="A15" s="71" t="s">
        <v>403</v>
      </c>
      <c r="B15" s="70"/>
    </row>
    <row r="16" spans="1:2" ht="18" customHeight="1" x14ac:dyDescent="0.3">
      <c r="A16" s="69" t="s">
        <v>404</v>
      </c>
      <c r="B16" s="70"/>
    </row>
    <row r="17" spans="1:2" ht="18" customHeight="1" x14ac:dyDescent="0.3">
      <c r="A17" s="71"/>
      <c r="B17" s="70"/>
    </row>
    <row r="18" spans="1:2" ht="18" customHeight="1" x14ac:dyDescent="0.3">
      <c r="A18" s="69" t="s">
        <v>405</v>
      </c>
      <c r="B18" s="70"/>
    </row>
    <row r="19" spans="1:2" ht="18" customHeight="1" x14ac:dyDescent="0.3">
      <c r="A19" s="71" t="s">
        <v>406</v>
      </c>
      <c r="B19" s="70"/>
    </row>
    <row r="20" spans="1:2" ht="18" customHeight="1" x14ac:dyDescent="0.3">
      <c r="A20" s="69" t="s">
        <v>407</v>
      </c>
      <c r="B20" s="70"/>
    </row>
    <row r="21" spans="1:2" ht="18" customHeight="1" x14ac:dyDescent="0.3">
      <c r="A21" s="71" t="s">
        <v>408</v>
      </c>
      <c r="B21" s="70"/>
    </row>
    <row r="22" spans="1:2" ht="18" customHeight="1" x14ac:dyDescent="0.3">
      <c r="A22" s="69" t="s">
        <v>409</v>
      </c>
      <c r="B22" s="70"/>
    </row>
    <row r="23" spans="1:2" ht="18" customHeight="1" x14ac:dyDescent="0.3">
      <c r="A23" s="71" t="s">
        <v>410</v>
      </c>
      <c r="B23" s="70"/>
    </row>
    <row r="24" spans="1:2" ht="18" customHeight="1" x14ac:dyDescent="0.3">
      <c r="A24" s="69" t="s">
        <v>411</v>
      </c>
      <c r="B24" s="70"/>
    </row>
    <row r="25" spans="1:2" ht="18" customHeight="1" x14ac:dyDescent="0.3">
      <c r="A25" s="71"/>
      <c r="B25" s="70"/>
    </row>
    <row r="26" spans="1:2" ht="18" customHeight="1" x14ac:dyDescent="0.3">
      <c r="A26" s="69" t="s">
        <v>412</v>
      </c>
      <c r="B26" s="70"/>
    </row>
    <row r="27" spans="1:2" ht="18" customHeight="1" x14ac:dyDescent="0.3">
      <c r="A27" s="71" t="s">
        <v>413</v>
      </c>
      <c r="B27" s="70"/>
    </row>
    <row r="28" spans="1:2" ht="18" customHeight="1" x14ac:dyDescent="0.3">
      <c r="A28" s="69" t="s">
        <v>414</v>
      </c>
      <c r="B28" s="70"/>
    </row>
    <row r="29" spans="1:2" ht="18" customHeight="1" x14ac:dyDescent="0.3">
      <c r="A29" s="71" t="s">
        <v>415</v>
      </c>
      <c r="B29" s="70"/>
    </row>
    <row r="30" spans="1:2" ht="18" customHeight="1" x14ac:dyDescent="0.3">
      <c r="A30" s="69"/>
      <c r="B30" s="70"/>
    </row>
    <row r="31" spans="1:2" ht="18" customHeight="1" x14ac:dyDescent="0.3">
      <c r="A31" s="71" t="s">
        <v>416</v>
      </c>
      <c r="B31" s="70"/>
    </row>
    <row r="32" spans="1:2" ht="18" customHeight="1" x14ac:dyDescent="0.3">
      <c r="A32" s="69"/>
      <c r="B32" s="70"/>
    </row>
    <row r="33" spans="1:2" ht="18" customHeight="1" x14ac:dyDescent="0.3">
      <c r="A33" s="71" t="s">
        <v>417</v>
      </c>
      <c r="B33" s="70"/>
    </row>
    <row r="34" spans="1:2" ht="18" customHeight="1" x14ac:dyDescent="0.3">
      <c r="A34" s="69"/>
      <c r="B34" s="70"/>
    </row>
    <row r="35" spans="1:2" ht="18" customHeight="1" x14ac:dyDescent="0.3">
      <c r="A35" s="71" t="s">
        <v>418</v>
      </c>
      <c r="B35" s="70"/>
    </row>
    <row r="36" spans="1:2" ht="18" customHeight="1" x14ac:dyDescent="0.3">
      <c r="A36" s="69" t="s">
        <v>406</v>
      </c>
      <c r="B36" s="70"/>
    </row>
    <row r="37" spans="1:2" ht="18" customHeight="1" x14ac:dyDescent="0.3">
      <c r="A37" s="71" t="s">
        <v>419</v>
      </c>
      <c r="B37" s="70"/>
    </row>
    <row r="38" spans="1:2" ht="18" customHeight="1" x14ac:dyDescent="0.3">
      <c r="A38" s="69"/>
      <c r="B38" s="70"/>
    </row>
    <row r="39" spans="1:2" ht="18" customHeight="1" x14ac:dyDescent="0.3">
      <c r="A39" s="71" t="s">
        <v>420</v>
      </c>
      <c r="B39" s="70"/>
    </row>
    <row r="40" spans="1:2" ht="18" customHeight="1" x14ac:dyDescent="0.3">
      <c r="A40" s="69" t="s">
        <v>421</v>
      </c>
      <c r="B40" s="70"/>
    </row>
    <row r="41" spans="1:2" ht="18" customHeight="1" x14ac:dyDescent="0.3">
      <c r="A41" s="71" t="s">
        <v>422</v>
      </c>
      <c r="B41" s="70"/>
    </row>
    <row r="42" spans="1:2" ht="18" customHeight="1" x14ac:dyDescent="0.3">
      <c r="A42" s="69" t="s">
        <v>423</v>
      </c>
      <c r="B42" s="70"/>
    </row>
    <row r="43" spans="1:2" ht="18" customHeight="1" x14ac:dyDescent="0.3">
      <c r="A43" s="71" t="s">
        <v>424</v>
      </c>
      <c r="B43" s="70"/>
    </row>
    <row r="44" spans="1:2" ht="18" customHeight="1" x14ac:dyDescent="0.3">
      <c r="A44" s="69" t="s">
        <v>425</v>
      </c>
      <c r="B44" s="70"/>
    </row>
    <row r="45" spans="1:2" ht="18" customHeight="1" x14ac:dyDescent="0.3">
      <c r="A45" s="71" t="s">
        <v>426</v>
      </c>
      <c r="B45" s="70"/>
    </row>
    <row r="46" spans="1:2" ht="18" customHeight="1" x14ac:dyDescent="0.3">
      <c r="A46" s="69" t="s">
        <v>427</v>
      </c>
      <c r="B46" s="70"/>
    </row>
    <row r="47" spans="1:2" ht="18" customHeight="1" x14ac:dyDescent="0.3">
      <c r="A47" s="71"/>
      <c r="B47" s="70"/>
    </row>
    <row r="48" spans="1:2" ht="18" customHeight="1" x14ac:dyDescent="0.3">
      <c r="A48" s="69" t="s">
        <v>428</v>
      </c>
      <c r="B48" s="70"/>
    </row>
    <row r="49" spans="1:2" ht="18" customHeight="1" x14ac:dyDescent="0.3">
      <c r="A49" s="71"/>
      <c r="B49" s="70"/>
    </row>
    <row r="50" spans="1:2" ht="18" customHeight="1" x14ac:dyDescent="0.3">
      <c r="A50" s="69" t="s">
        <v>416</v>
      </c>
      <c r="B50" s="70"/>
    </row>
  </sheetData>
  <mergeCells count="50">
    <mergeCell ref="A9:B9"/>
    <mergeCell ref="A31:B31"/>
    <mergeCell ref="A39:B39"/>
    <mergeCell ref="A34:B34"/>
    <mergeCell ref="A10:B10"/>
    <mergeCell ref="A28:B28"/>
    <mergeCell ref="A13:B13"/>
    <mergeCell ref="A44:B44"/>
    <mergeCell ref="A40:B40"/>
    <mergeCell ref="A50:B50"/>
    <mergeCell ref="A12:B12"/>
    <mergeCell ref="A26:B26"/>
    <mergeCell ref="A21:B21"/>
    <mergeCell ref="A2:B2"/>
    <mergeCell ref="A33:B33"/>
    <mergeCell ref="A47:B47"/>
    <mergeCell ref="A5:B5"/>
    <mergeCell ref="A42:B42"/>
    <mergeCell ref="A32:B32"/>
    <mergeCell ref="A14:B14"/>
    <mergeCell ref="A17:B17"/>
    <mergeCell ref="A23:B23"/>
    <mergeCell ref="A8:B8"/>
    <mergeCell ref="A22:B22"/>
    <mergeCell ref="A35:B35"/>
    <mergeCell ref="A11:B11"/>
    <mergeCell ref="A45:B45"/>
    <mergeCell ref="A36:B36"/>
    <mergeCell ref="A1:B1"/>
    <mergeCell ref="A6:B6"/>
    <mergeCell ref="A16:B16"/>
    <mergeCell ref="A7:B7"/>
    <mergeCell ref="A25:B25"/>
    <mergeCell ref="A41:B41"/>
    <mergeCell ref="A37:B37"/>
    <mergeCell ref="A18:B18"/>
    <mergeCell ref="A27:B27"/>
    <mergeCell ref="A3:B3"/>
    <mergeCell ref="A4:B4"/>
    <mergeCell ref="A20:B20"/>
    <mergeCell ref="A38:B38"/>
    <mergeCell ref="A48:B48"/>
    <mergeCell ref="A24:B24"/>
    <mergeCell ref="A30:B30"/>
    <mergeCell ref="A15:B15"/>
    <mergeCell ref="A49:B49"/>
    <mergeCell ref="A46:B46"/>
    <mergeCell ref="A29:B29"/>
    <mergeCell ref="A43:B43"/>
    <mergeCell ref="A19:B19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Executive Summary</vt:lpstr>
      <vt:lpstr>Default Analysis</vt:lpstr>
      <vt:lpstr>Bank Risk</vt:lpstr>
      <vt:lpstr>Securitization Pool</vt:lpstr>
      <vt:lpstr>State Risk</vt:lpstr>
      <vt:lpstr>Business Categories</vt:lpstr>
      <vt:lpstr>Yearly Default Trend</vt:lpstr>
      <vt:lpstr>VBA Macro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Uset</cp:lastModifiedBy>
  <dcterms:created xsi:type="dcterms:W3CDTF">2026-05-07T16:11:13Z</dcterms:created>
  <dcterms:modified xsi:type="dcterms:W3CDTF">2026-05-07T21:41:43Z</dcterms:modified>
</cp:coreProperties>
</file>